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tecnologia 2021\"/>
    </mc:Choice>
  </mc:AlternateContent>
  <bookViews>
    <workbookView xWindow="0" yWindow="0" windowWidth="20490" windowHeight="7050"/>
  </bookViews>
  <sheets>
    <sheet name="Inicio" sheetId="1" r:id="rId1"/>
    <sheet name="Ingresos" sheetId="3" r:id="rId2"/>
    <sheet name="Salidas" sheetId="4" r:id="rId3"/>
    <sheet name="Reportes" sheetId="5" r:id="rId4"/>
    <sheet name="BD General Ingresos" sheetId="12" r:id="rId5"/>
    <sheet name="BD Ingresos Juan pablo" sheetId="6" r:id="rId6"/>
    <sheet name="BD Ingresos simon" sheetId="9" r:id="rId7"/>
    <sheet name=" Ingresos Felipe" sheetId="10" r:id="rId8"/>
    <sheet name=" Ingresos alejandro" sheetId="11" r:id="rId9"/>
    <sheet name="BD Salidas" sheetId="8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5" l="1"/>
  <c r="I7" i="5"/>
  <c r="D13" i="8" l="1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6" i="8"/>
  <c r="D67" i="8"/>
  <c r="D68" i="8"/>
  <c r="D76" i="8"/>
  <c r="D77" i="8"/>
  <c r="U3" i="11" l="1"/>
  <c r="T3" i="11"/>
  <c r="S3" i="11"/>
  <c r="R3" i="11"/>
  <c r="Q3" i="11"/>
  <c r="N3" i="11"/>
  <c r="M3" i="11"/>
  <c r="L3" i="11"/>
  <c r="K3" i="11"/>
  <c r="J3" i="11"/>
  <c r="U3" i="10"/>
  <c r="T3" i="10"/>
  <c r="S3" i="10"/>
  <c r="R3" i="10"/>
  <c r="Q3" i="10"/>
  <c r="N3" i="10"/>
  <c r="M3" i="10"/>
  <c r="L3" i="10"/>
  <c r="K3" i="10"/>
  <c r="J3" i="10"/>
  <c r="W3" i="11" l="1"/>
  <c r="W3" i="10"/>
  <c r="M8" i="12" s="1"/>
  <c r="U3" i="9"/>
  <c r="T3" i="9"/>
  <c r="S3" i="9"/>
  <c r="R3" i="9"/>
  <c r="Q3" i="9"/>
  <c r="N3" i="9"/>
  <c r="M3" i="9"/>
  <c r="L3" i="9"/>
  <c r="K3" i="9"/>
  <c r="J3" i="9"/>
  <c r="M9" i="12" l="1"/>
  <c r="W3" i="9"/>
  <c r="M7" i="12" s="1"/>
  <c r="R3" i="6"/>
  <c r="S3" i="6"/>
  <c r="T3" i="6"/>
  <c r="E4" i="5" s="1"/>
  <c r="U3" i="6"/>
  <c r="Q3" i="6"/>
  <c r="O3" i="8"/>
  <c r="I3" i="8"/>
  <c r="L3" i="6"/>
  <c r="C3" i="12" s="1"/>
  <c r="N3" i="6"/>
  <c r="E3" i="12" s="1"/>
  <c r="M3" i="6"/>
  <c r="D3" i="12" s="1"/>
  <c r="K3" i="6"/>
  <c r="B3" i="12" s="1"/>
  <c r="J3" i="6"/>
  <c r="A3" i="12" s="1"/>
  <c r="J3" i="12" l="1"/>
  <c r="D4" i="5"/>
  <c r="I3" i="12"/>
  <c r="C4" i="5"/>
  <c r="L3" i="12"/>
  <c r="F4" i="5"/>
  <c r="H3" i="12"/>
  <c r="B4" i="5"/>
  <c r="K3" i="12"/>
  <c r="N3" i="12"/>
  <c r="W3" i="6"/>
  <c r="E6" i="8" l="1"/>
  <c r="E5" i="8"/>
  <c r="E8" i="8"/>
  <c r="E10" i="8"/>
  <c r="E12" i="8"/>
  <c r="E64" i="8"/>
  <c r="E9" i="8"/>
  <c r="E11" i="8"/>
  <c r="E65" i="8"/>
  <c r="E7" i="8"/>
  <c r="M6" i="12"/>
  <c r="J7" i="12"/>
  <c r="L3" i="8" l="1"/>
  <c r="I14" i="5" s="1"/>
  <c r="I7" i="12"/>
</calcChain>
</file>

<file path=xl/sharedStrings.xml><?xml version="1.0" encoding="utf-8"?>
<sst xmlns="http://schemas.openxmlformats.org/spreadsheetml/2006/main" count="137" uniqueCount="36">
  <si>
    <t>Nombre del Vendedor</t>
  </si>
  <si>
    <t>Cantidad</t>
  </si>
  <si>
    <t>Chasis</t>
  </si>
  <si>
    <t>Boards</t>
  </si>
  <si>
    <t>Pantallas</t>
  </si>
  <si>
    <t>Teclados</t>
  </si>
  <si>
    <t>Audifonos</t>
  </si>
  <si>
    <t>Total Chasis</t>
  </si>
  <si>
    <t>Total Boards</t>
  </si>
  <si>
    <t>Total Pantallas</t>
  </si>
  <si>
    <t>Total Teclados</t>
  </si>
  <si>
    <t>Total Audifonos</t>
  </si>
  <si>
    <t>Nombre</t>
  </si>
  <si>
    <t>Compra</t>
  </si>
  <si>
    <t>Precio</t>
  </si>
  <si>
    <t>Cantidad:</t>
  </si>
  <si>
    <t>Nómina</t>
  </si>
  <si>
    <t>Bonificación</t>
  </si>
  <si>
    <t>Total Nómina</t>
  </si>
  <si>
    <t>Total Ventas</t>
  </si>
  <si>
    <t>Total Bon</t>
  </si>
  <si>
    <t>Total Compras</t>
  </si>
  <si>
    <t>Mejor Empl.</t>
  </si>
  <si>
    <t>Cantidad Total de Productos Vendidos</t>
  </si>
  <si>
    <t>Mejor Vendedor</t>
  </si>
  <si>
    <t>Se Ganó</t>
  </si>
  <si>
    <t>Caja</t>
  </si>
  <si>
    <t>Costo U.</t>
  </si>
  <si>
    <r>
      <rPr>
        <sz val="48"/>
        <color theme="0" tint="-4.9989318521683403E-2"/>
        <rFont val="Century Gothic"/>
        <family val="2"/>
      </rPr>
      <t>CompuSystem</t>
    </r>
    <r>
      <rPr>
        <sz val="48"/>
        <color theme="1"/>
        <rFont val="Century Gothic"/>
        <family val="2"/>
      </rPr>
      <t>.</t>
    </r>
  </si>
  <si>
    <t>Juan Pablo</t>
  </si>
  <si>
    <t>Simon</t>
  </si>
  <si>
    <t>felipe</t>
  </si>
  <si>
    <t>alejandro</t>
  </si>
  <si>
    <t>juan pablo</t>
  </si>
  <si>
    <t>chasis</t>
  </si>
  <si>
    <t>simon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</si>
</sst>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48"/>
      <color theme="1"/>
      <name val="Century Gothic"/>
      <family val="2"/>
    </font>
    <font>
      <sz val="48"/>
      <color theme="0" tint="-4.9989318521683403E-2"/>
      <name val="Century Gothic"/>
      <family val="2"/>
    </font>
    <font>
      <b/>
      <sz val="22"/>
      <color theme="0" tint="-4.9989318521683403E-2"/>
      <name val="Calibri"/>
      <family val="2"/>
      <scheme val="minor"/>
    </font>
    <font>
      <b/>
      <sz val="20"/>
      <color theme="0" tint="-4.9989318521683403E-2"/>
      <name val="Century Gothic"/>
      <family val="2"/>
    </font>
    <font>
      <b/>
      <sz val="11"/>
      <name val="Calibri"/>
      <family val="2"/>
      <scheme val="minor"/>
    </font>
    <font>
      <b/>
      <sz val="22"/>
      <color theme="1" tint="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Font="1"/>
    <xf numFmtId="0" fontId="0" fillId="0" borderId="0" xfId="0" quotePrefix="1"/>
    <xf numFmtId="14" fontId="0" fillId="0" borderId="0" xfId="0" applyNumberForma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8" fillId="4" borderId="10" xfId="0" applyFont="1" applyFill="1" applyBorder="1" applyAlignment="1"/>
    <xf numFmtId="0" fontId="3" fillId="8" borderId="10" xfId="0" applyFont="1" applyFill="1" applyBorder="1" applyAlignment="1"/>
    <xf numFmtId="0" fontId="5" fillId="3" borderId="10" xfId="0" applyFont="1" applyFill="1" applyBorder="1" applyAlignment="1"/>
    <xf numFmtId="0" fontId="2" fillId="8" borderId="1" xfId="0" applyFont="1" applyFill="1" applyBorder="1" applyAlignment="1"/>
    <xf numFmtId="0" fontId="10" fillId="8" borderId="1" xfId="0" applyFont="1" applyFill="1" applyBorder="1"/>
    <xf numFmtId="0" fontId="1" fillId="8" borderId="1" xfId="0" applyFont="1" applyFill="1" applyBorder="1"/>
    <xf numFmtId="0" fontId="0" fillId="3" borderId="0" xfId="0" applyFill="1"/>
    <xf numFmtId="0" fontId="1" fillId="3" borderId="1" xfId="0" applyFont="1" applyFill="1" applyBorder="1"/>
    <xf numFmtId="0" fontId="3" fillId="2" borderId="10" xfId="0" applyFont="1" applyFill="1" applyBorder="1" applyAlignment="1"/>
    <xf numFmtId="0" fontId="5" fillId="7" borderId="10" xfId="0" applyFont="1" applyFill="1" applyBorder="1" applyAlignment="1"/>
    <xf numFmtId="0" fontId="2" fillId="2" borderId="1" xfId="0" applyFont="1" applyFill="1" applyBorder="1" applyAlignment="1"/>
    <xf numFmtId="0" fontId="6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Ventas Totales</a:t>
            </a:r>
            <a:r>
              <a:rPr lang="es-CO" baseline="0"/>
              <a:t> por Producto</a:t>
            </a:r>
            <a:endParaRPr lang="es-CO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'BD General Ingresos'!$A$2:$E$2</c:f>
              <c:strCache>
                <c:ptCount val="5"/>
                <c:pt idx="0">
                  <c:v>Total Chasis</c:v>
                </c:pt>
                <c:pt idx="1">
                  <c:v>Total Boards</c:v>
                </c:pt>
                <c:pt idx="2">
                  <c:v>Total Pantallas</c:v>
                </c:pt>
                <c:pt idx="3">
                  <c:v>Total Teclados</c:v>
                </c:pt>
                <c:pt idx="4">
                  <c:v>Total Audifonos</c:v>
                </c:pt>
              </c:strCache>
            </c:strRef>
          </c:cat>
          <c:val>
            <c:numRef>
              <c:f>'BD General Ingresos'!$A$3:$E$3</c:f>
              <c:numCache>
                <c:formatCode>General</c:formatCode>
                <c:ptCount val="5"/>
                <c:pt idx="0">
                  <c:v>5640000</c:v>
                </c:pt>
                <c:pt idx="1">
                  <c:v>11250000</c:v>
                </c:pt>
                <c:pt idx="2">
                  <c:v>24500000</c:v>
                </c:pt>
                <c:pt idx="3">
                  <c:v>1140000</c:v>
                </c:pt>
                <c:pt idx="4">
                  <c:v>2940000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B2-4D25-99B4-C8AAE1592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5869967"/>
        <c:axId val="287946607"/>
      </c:barChart>
      <c:catAx>
        <c:axId val="345869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46607"/>
        <c:crosses val="autoZero"/>
        <c:auto val="1"/>
        <c:lblAlgn val="ctr"/>
        <c:lblOffset val="100"/>
        <c:noMultiLvlLbl val="0"/>
      </c:catAx>
      <c:valAx>
        <c:axId val="287946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69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266036</xdr:colOff>
      <xdr:row>7</xdr:row>
      <xdr:rowOff>132804</xdr:rowOff>
    </xdr:from>
    <xdr:to>
      <xdr:col>7</xdr:col>
      <xdr:colOff>57149</xdr:colOff>
      <xdr:row>11</xdr:row>
      <xdr:rowOff>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8E46B236-5B5B-4BCA-823E-E4CE440E0773}"/>
            </a:ext>
          </a:extLst>
        </xdr:cNvPr>
        <xdr:cNvGrpSpPr/>
      </xdr:nvGrpSpPr>
      <xdr:grpSpPr>
        <a:xfrm>
          <a:off x="3314036" y="1466304"/>
          <a:ext cx="2077113" cy="629196"/>
          <a:chOff x="1600200" y="1304925"/>
          <a:chExt cx="3648075" cy="628650"/>
        </a:xfrm>
        <a:solidFill>
          <a:schemeClr val="tx2">
            <a:lumMod val="50000"/>
          </a:schemeClr>
        </a:solidFill>
      </xdr:grpSpPr>
      <xdr:sp macro="[0]!LlegadaIngresos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28802F70-0A35-4AF4-9598-5D5706E08F00}"/>
              </a:ext>
            </a:extLst>
          </xdr:cNvPr>
          <xdr:cNvSpPr/>
        </xdr:nvSpPr>
        <xdr:spPr>
          <a:xfrm>
            <a:off x="1600200" y="1304925"/>
            <a:ext cx="3648075" cy="619125"/>
          </a:xfrm>
          <a:prstGeom prst="roundRect">
            <a:avLst>
              <a:gd name="adj" fmla="val 50000"/>
            </a:avLst>
          </a:prstGeom>
          <a:grpFill/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LlegadaIngresos" textlink="">
        <xdr:nvSpPr>
          <xdr:cNvPr id="3" name="Rectángulo 2">
            <a:extLst>
              <a:ext uri="{FF2B5EF4-FFF2-40B4-BE49-F238E27FC236}">
                <a16:creationId xmlns:a16="http://schemas.microsoft.com/office/drawing/2014/main" id="{6ECB7194-46BF-4D8D-8F01-18BE0EC0031B}"/>
              </a:ext>
            </a:extLst>
          </xdr:cNvPr>
          <xdr:cNvSpPr/>
        </xdr:nvSpPr>
        <xdr:spPr>
          <a:xfrm>
            <a:off x="2372883" y="1314450"/>
            <a:ext cx="2321789" cy="619125"/>
          </a:xfrm>
          <a:prstGeom prst="rect">
            <a:avLst/>
          </a:prstGeom>
          <a:grpFill/>
          <a:ln>
            <a:solidFill>
              <a:schemeClr val="bg1">
                <a:lumMod val="95000"/>
              </a:schemeClr>
            </a:solidFill>
          </a:ln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s-ES" sz="4000" b="1" cap="none" spc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I</a:t>
            </a:r>
            <a:r>
              <a:rPr lang="es-ES" sz="4000" b="1" cap="none" spc="0" baseline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ngresos</a:t>
            </a:r>
            <a:endParaRPr lang="es-ES" sz="4000" b="1" cap="none" spc="0">
              <a:ln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5</xdr:col>
      <xdr:colOff>76200</xdr:colOff>
      <xdr:row>16</xdr:row>
      <xdr:rowOff>152401</xdr:rowOff>
    </xdr:from>
    <xdr:to>
      <xdr:col>9</xdr:col>
      <xdr:colOff>676275</xdr:colOff>
      <xdr:row>20</xdr:row>
      <xdr:rowOff>19050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FAB55D-4988-4C13-B344-B7A19954BA59}"/>
            </a:ext>
          </a:extLst>
        </xdr:cNvPr>
        <xdr:cNvGrpSpPr/>
      </xdr:nvGrpSpPr>
      <xdr:grpSpPr>
        <a:xfrm>
          <a:off x="3886200" y="3200401"/>
          <a:ext cx="3648075" cy="628649"/>
          <a:chOff x="1600200" y="1295401"/>
          <a:chExt cx="3648075" cy="628649"/>
        </a:xfrm>
        <a:solidFill>
          <a:schemeClr val="tx2">
            <a:lumMod val="50000"/>
          </a:schemeClr>
        </a:solidFill>
      </xdr:grpSpPr>
      <xdr:sp macro="[0]!LlegadaReportes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883AC573-F2D1-4373-9A02-455778FF0E8A}"/>
              </a:ext>
            </a:extLst>
          </xdr:cNvPr>
          <xdr:cNvSpPr/>
        </xdr:nvSpPr>
        <xdr:spPr>
          <a:xfrm>
            <a:off x="1600200" y="1304925"/>
            <a:ext cx="3648075" cy="619125"/>
          </a:xfrm>
          <a:prstGeom prst="roundRect">
            <a:avLst>
              <a:gd name="adj" fmla="val 50000"/>
            </a:avLst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LlegadaReportes" textlink="">
        <xdr:nvSpPr>
          <xdr:cNvPr id="10" name="Rectángulo 9">
            <a:extLst>
              <a:ext uri="{FF2B5EF4-FFF2-40B4-BE49-F238E27FC236}">
                <a16:creationId xmlns:a16="http://schemas.microsoft.com/office/drawing/2014/main" id="{EB5075CD-B453-4018-997A-5974DA4819EE}"/>
              </a:ext>
            </a:extLst>
          </xdr:cNvPr>
          <xdr:cNvSpPr/>
        </xdr:nvSpPr>
        <xdr:spPr>
          <a:xfrm>
            <a:off x="2450653" y="1295401"/>
            <a:ext cx="2026097" cy="609599"/>
          </a:xfrm>
          <a:prstGeom prst="rect">
            <a:avLst/>
          </a:prstGeom>
          <a:grpFill/>
          <a:ln>
            <a:solidFill>
              <a:schemeClr val="tx1"/>
            </a:solidFill>
          </a:ln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s-ES" sz="3600" b="1" cap="none" spc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Reportes</a:t>
            </a:r>
          </a:p>
        </xdr:txBody>
      </xdr:sp>
      <xdr:sp macro="[0]!LlegadaReportes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EB5075CD-B453-4018-997A-5974DA4819EE}"/>
              </a:ext>
            </a:extLst>
          </xdr:cNvPr>
          <xdr:cNvSpPr/>
        </xdr:nvSpPr>
        <xdr:spPr>
          <a:xfrm>
            <a:off x="2441128" y="1304926"/>
            <a:ext cx="2026097" cy="609599"/>
          </a:xfrm>
          <a:prstGeom prst="rect">
            <a:avLst/>
          </a:prstGeom>
          <a:grpFill/>
          <a:ln>
            <a:solidFill>
              <a:schemeClr val="tx1"/>
            </a:solidFill>
          </a:ln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s-ES" sz="2800" b="1" cap="none" spc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Reportes</a:t>
            </a:r>
            <a:endParaRPr lang="es-ES" sz="3600" b="1" cap="none" spc="0">
              <a:ln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4</xdr:col>
      <xdr:colOff>152400</xdr:colOff>
      <xdr:row>7</xdr:row>
      <xdr:rowOff>47625</xdr:rowOff>
    </xdr:from>
    <xdr:to>
      <xdr:col>7</xdr:col>
      <xdr:colOff>180975</xdr:colOff>
      <xdr:row>11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8E46B236-5B5B-4BCA-823E-E4CE440E0773}"/>
            </a:ext>
          </a:extLst>
        </xdr:cNvPr>
        <xdr:cNvGrpSpPr/>
      </xdr:nvGrpSpPr>
      <xdr:grpSpPr>
        <a:xfrm>
          <a:off x="3200400" y="1381125"/>
          <a:ext cx="2314575" cy="723900"/>
          <a:chOff x="1600200" y="1304925"/>
          <a:chExt cx="3648075" cy="628650"/>
        </a:xfrm>
        <a:solidFill>
          <a:schemeClr val="tx2">
            <a:lumMod val="50000"/>
          </a:schemeClr>
        </a:solidFill>
      </xdr:grpSpPr>
      <xdr:sp macro="[0]!LlegadaIngresos" textlink="">
        <xdr:nvSpPr>
          <xdr:cNvPr id="14" name="Rectángulo: esquinas redondeadas 1">
            <a:extLst>
              <a:ext uri="{FF2B5EF4-FFF2-40B4-BE49-F238E27FC236}">
                <a16:creationId xmlns:a16="http://schemas.microsoft.com/office/drawing/2014/main" id="{28802F70-0A35-4AF4-9598-5D5706E08F00}"/>
              </a:ext>
            </a:extLst>
          </xdr:cNvPr>
          <xdr:cNvSpPr/>
        </xdr:nvSpPr>
        <xdr:spPr>
          <a:xfrm>
            <a:off x="1600200" y="1304925"/>
            <a:ext cx="3648075" cy="619125"/>
          </a:xfrm>
          <a:prstGeom prst="roundRect">
            <a:avLst>
              <a:gd name="adj" fmla="val 50000"/>
            </a:avLst>
          </a:prstGeom>
          <a:grpFill/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LlegadaIngresos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6ECB7194-46BF-4D8D-8F01-18BE0EC0031B}"/>
              </a:ext>
            </a:extLst>
          </xdr:cNvPr>
          <xdr:cNvSpPr/>
        </xdr:nvSpPr>
        <xdr:spPr>
          <a:xfrm>
            <a:off x="2372883" y="1314450"/>
            <a:ext cx="2321789" cy="619125"/>
          </a:xfrm>
          <a:prstGeom prst="rect">
            <a:avLst/>
          </a:prstGeom>
          <a:grpFill/>
          <a:ln>
            <a:solidFill>
              <a:schemeClr val="bg1">
                <a:lumMod val="95000"/>
              </a:schemeClr>
            </a:solidFill>
          </a:ln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s-ES" sz="4000" b="1" cap="none" spc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I</a:t>
            </a:r>
            <a:r>
              <a:rPr lang="es-ES" sz="4000" b="1" cap="none" spc="0" baseline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ngresos</a:t>
            </a:r>
            <a:endParaRPr lang="es-ES" sz="4000" b="1" cap="none" spc="0">
              <a:ln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7</xdr:col>
      <xdr:colOff>295274</xdr:colOff>
      <xdr:row>7</xdr:row>
      <xdr:rowOff>104775</xdr:rowOff>
    </xdr:from>
    <xdr:to>
      <xdr:col>10</xdr:col>
      <xdr:colOff>619125</xdr:colOff>
      <xdr:row>11</xdr:row>
      <xdr:rowOff>141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D56B893A-42FC-496A-AA34-ADA12CE7A28A}"/>
            </a:ext>
          </a:extLst>
        </xdr:cNvPr>
        <xdr:cNvGrpSpPr/>
      </xdr:nvGrpSpPr>
      <xdr:grpSpPr>
        <a:xfrm>
          <a:off x="5629274" y="1438275"/>
          <a:ext cx="2609851" cy="657366"/>
          <a:chOff x="1600200" y="1257300"/>
          <a:chExt cx="3695700" cy="666751"/>
        </a:xfrm>
      </xdr:grpSpPr>
      <xdr:sp macro="[0]!LlegadaSalidas" textlink="">
        <xdr:nvSpPr>
          <xdr:cNvPr id="17" name="Rectángulo: esquinas redondeadas 5">
            <a:extLst>
              <a:ext uri="{FF2B5EF4-FFF2-40B4-BE49-F238E27FC236}">
                <a16:creationId xmlns:a16="http://schemas.microsoft.com/office/drawing/2014/main" id="{6A9336EA-50BB-43D0-A672-24E7B8E83F4C}"/>
              </a:ext>
            </a:extLst>
          </xdr:cNvPr>
          <xdr:cNvSpPr/>
        </xdr:nvSpPr>
        <xdr:spPr>
          <a:xfrm>
            <a:off x="1600200" y="1295401"/>
            <a:ext cx="3695700" cy="628650"/>
          </a:xfrm>
          <a:prstGeom prst="roundRect">
            <a:avLst>
              <a:gd name="adj" fmla="val 50000"/>
            </a:avLst>
          </a:prstGeom>
          <a:solidFill>
            <a:schemeClr val="tx2">
              <a:lumMod val="75000"/>
            </a:schemeClr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LlegadaSalidas" textlink="">
        <xdr:nvSpPr>
          <xdr:cNvPr id="18" name="Rectángulo 17">
            <a:extLst>
              <a:ext uri="{FF2B5EF4-FFF2-40B4-BE49-F238E27FC236}">
                <a16:creationId xmlns:a16="http://schemas.microsoft.com/office/drawing/2014/main" id="{B2D2F465-B4E8-45E3-9F25-C630F314AC30}"/>
              </a:ext>
            </a:extLst>
          </xdr:cNvPr>
          <xdr:cNvSpPr/>
        </xdr:nvSpPr>
        <xdr:spPr>
          <a:xfrm>
            <a:off x="2391009" y="1257300"/>
            <a:ext cx="2276242" cy="619125"/>
          </a:xfrm>
          <a:prstGeom prst="rect">
            <a:avLst/>
          </a:prstGeom>
          <a:noFill/>
          <a:ln>
            <a:solidFill>
              <a:schemeClr val="bg2">
                <a:lumMod val="75000"/>
              </a:schemeClr>
            </a:solidFill>
          </a:ln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s-ES" sz="3200" b="1" cap="none" spc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Salidas</a:t>
            </a:r>
            <a:endParaRPr lang="es-ES" sz="4000" b="1" cap="none" spc="0">
              <a:ln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Century Gothic" panose="020B0502020202020204" pitchFamily="34" charset="0"/>
            </a:endParaRPr>
          </a:p>
        </xdr:txBody>
      </xdr:sp>
    </xdr:grpSp>
    <xdr:clientData/>
  </xdr:twoCellAnchor>
  <xdr:twoCellAnchor editAs="oneCell">
    <xdr:from>
      <xdr:col>7</xdr:col>
      <xdr:colOff>438150</xdr:colOff>
      <xdr:row>11</xdr:row>
      <xdr:rowOff>147955</xdr:rowOff>
    </xdr:from>
    <xdr:to>
      <xdr:col>10</xdr:col>
      <xdr:colOff>171450</xdr:colOff>
      <xdr:row>16</xdr:row>
      <xdr:rowOff>38101</xdr:rowOff>
    </xdr:to>
    <xdr:pic>
      <xdr:nvPicPr>
        <xdr:cNvPr id="20" name="Imagen 19" descr="Resultado de imagen para pc dibuj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72150" y="2243455"/>
          <a:ext cx="2019300" cy="8426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457200</xdr:colOff>
      <xdr:row>11</xdr:row>
      <xdr:rowOff>56515</xdr:rowOff>
    </xdr:from>
    <xdr:to>
      <xdr:col>6</xdr:col>
      <xdr:colOff>723900</xdr:colOff>
      <xdr:row>16</xdr:row>
      <xdr:rowOff>57149</xdr:rowOff>
    </xdr:to>
    <xdr:pic>
      <xdr:nvPicPr>
        <xdr:cNvPr id="22" name="Imagen 21" descr="Resultado de imagen para pc dibuj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2152015"/>
          <a:ext cx="1790700" cy="9531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266701</xdr:colOff>
      <xdr:row>6</xdr:row>
      <xdr:rowOff>19050</xdr:rowOff>
    </xdr:from>
    <xdr:to>
      <xdr:col>2</xdr:col>
      <xdr:colOff>104775</xdr:colOff>
      <xdr:row>10</xdr:row>
      <xdr:rowOff>40190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D56A7023-4AE4-45DC-ADEF-047039BB8F37}"/>
            </a:ext>
          </a:extLst>
        </xdr:cNvPr>
        <xdr:cNvGrpSpPr/>
      </xdr:nvGrpSpPr>
      <xdr:grpSpPr>
        <a:xfrm>
          <a:off x="266701" y="1800225"/>
          <a:ext cx="3324224" cy="783140"/>
          <a:chOff x="1600200" y="1140910"/>
          <a:chExt cx="3648075" cy="783140"/>
        </a:xfrm>
      </xdr:grpSpPr>
      <xdr:sp macro="[0]!VolverAInicio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C2B7826A-DE75-4C03-ABF0-490E288771EE}"/>
              </a:ext>
            </a:extLst>
          </xdr:cNvPr>
          <xdr:cNvSpPr/>
        </xdr:nvSpPr>
        <xdr:spPr>
          <a:xfrm>
            <a:off x="1600200" y="1304925"/>
            <a:ext cx="3648075" cy="619125"/>
          </a:xfrm>
          <a:prstGeom prst="roundRect">
            <a:avLst>
              <a:gd name="adj" fmla="val 50000"/>
            </a:avLst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VolverAInicio" textlink="">
        <xdr:nvSpPr>
          <xdr:cNvPr id="4" name="Rectángulo 3">
            <a:extLst>
              <a:ext uri="{FF2B5EF4-FFF2-40B4-BE49-F238E27FC236}">
                <a16:creationId xmlns:a16="http://schemas.microsoft.com/office/drawing/2014/main" id="{1E85847C-E358-434F-A83B-7CB7827C6581}"/>
              </a:ext>
            </a:extLst>
          </xdr:cNvPr>
          <xdr:cNvSpPr/>
        </xdr:nvSpPr>
        <xdr:spPr>
          <a:xfrm>
            <a:off x="2594230" y="1140910"/>
            <a:ext cx="1688592" cy="721288"/>
          </a:xfrm>
          <a:prstGeom prst="rect">
            <a:avLst/>
          </a:prstGeom>
          <a:noFill/>
          <a:ln>
            <a:noFill/>
          </a:ln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4000" b="1" cap="none" spc="0">
                <a:ln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I</a:t>
            </a:r>
            <a:r>
              <a:rPr lang="es-ES" sz="4000" b="1" cap="none" spc="0" baseline="0">
                <a:ln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nicio</a:t>
            </a:r>
            <a:endParaRPr lang="es-ES" sz="4000" b="1" cap="none" spc="0">
              <a:ln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4</xdr:col>
      <xdr:colOff>38100</xdr:colOff>
      <xdr:row>3</xdr:row>
      <xdr:rowOff>95249</xdr:rowOff>
    </xdr:from>
    <xdr:to>
      <xdr:col>7</xdr:col>
      <xdr:colOff>47625</xdr:colOff>
      <xdr:row>6</xdr:row>
      <xdr:rowOff>9524</xdr:rowOff>
    </xdr:to>
    <xdr:grpSp>
      <xdr:nvGrpSpPr>
        <xdr:cNvPr id="39" name="Grupo 38">
          <a:extLst>
            <a:ext uri="{FF2B5EF4-FFF2-40B4-BE49-F238E27FC236}">
              <a16:creationId xmlns:a16="http://schemas.microsoft.com/office/drawing/2014/main" id="{63EB3748-2CDD-4832-B86B-3C435DD47710}"/>
            </a:ext>
          </a:extLst>
        </xdr:cNvPr>
        <xdr:cNvGrpSpPr/>
      </xdr:nvGrpSpPr>
      <xdr:grpSpPr>
        <a:xfrm>
          <a:off x="5048250" y="1000124"/>
          <a:ext cx="2295525" cy="790575"/>
          <a:chOff x="4305300" y="981075"/>
          <a:chExt cx="2638425" cy="419100"/>
        </a:xfrm>
        <a:solidFill>
          <a:schemeClr val="bg2">
            <a:lumMod val="75000"/>
          </a:schemeClr>
        </a:solidFill>
      </xdr:grpSpPr>
      <xdr:sp macro="[0]!Ingresarboards" textlink="">
        <xdr:nvSpPr>
          <xdr:cNvPr id="37" name="Rectángulo: esquinas redondeadas 36">
            <a:extLst>
              <a:ext uri="{FF2B5EF4-FFF2-40B4-BE49-F238E27FC236}">
                <a16:creationId xmlns:a16="http://schemas.microsoft.com/office/drawing/2014/main" id="{46B1DED5-B645-4232-AAC8-81DCB2D5EB84}"/>
              </a:ext>
            </a:extLst>
          </xdr:cNvPr>
          <xdr:cNvSpPr/>
        </xdr:nvSpPr>
        <xdr:spPr>
          <a:xfrm>
            <a:off x="4305300" y="981075"/>
            <a:ext cx="2638425" cy="4191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>
              <a:solidFill>
                <a:srgbClr val="FF0000"/>
              </a:solidFill>
            </a:endParaRPr>
          </a:p>
        </xdr:txBody>
      </xdr:sp>
      <xdr:sp macro="[0]!Ingresarboards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EAF8762E-20CF-4EE8-98C5-2ACC696D6B88}"/>
              </a:ext>
            </a:extLst>
          </xdr:cNvPr>
          <xdr:cNvSpPr/>
        </xdr:nvSpPr>
        <xdr:spPr>
          <a:xfrm>
            <a:off x="4635540" y="1015552"/>
            <a:ext cx="2042643" cy="353096"/>
          </a:xfrm>
          <a:prstGeom prst="rect">
            <a:avLst/>
          </a:prstGeom>
          <a:grp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s-ES" sz="2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board</a:t>
            </a:r>
            <a:r>
              <a:rPr lang="es-ES" sz="2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 2500000</a:t>
            </a:r>
            <a:endParaRPr lang="es-E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3</xdr:col>
      <xdr:colOff>323851</xdr:colOff>
      <xdr:row>5</xdr:row>
      <xdr:rowOff>188410</xdr:rowOff>
    </xdr:from>
    <xdr:to>
      <xdr:col>7</xdr:col>
      <xdr:colOff>409575</xdr:colOff>
      <xdr:row>8</xdr:row>
      <xdr:rowOff>133350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2D7BF1A7-83F8-4138-8935-00006CFE1946}"/>
            </a:ext>
          </a:extLst>
        </xdr:cNvPr>
        <xdr:cNvGrpSpPr/>
      </xdr:nvGrpSpPr>
      <xdr:grpSpPr>
        <a:xfrm>
          <a:off x="4572001" y="1779085"/>
          <a:ext cx="3133724" cy="516440"/>
          <a:chOff x="4105276" y="883735"/>
          <a:chExt cx="3133724" cy="516440"/>
        </a:xfrm>
      </xdr:grpSpPr>
      <xdr:sp macro="[0]!IngresarPantallas" textlink="">
        <xdr:nvSpPr>
          <xdr:cNvPr id="41" name="Rectángulo: esquinas redondeadas 40">
            <a:extLst>
              <a:ext uri="{FF2B5EF4-FFF2-40B4-BE49-F238E27FC236}">
                <a16:creationId xmlns:a16="http://schemas.microsoft.com/office/drawing/2014/main" id="{BCF4B1BE-633F-4F45-AE16-1435EE970D95}"/>
              </a:ext>
            </a:extLst>
          </xdr:cNvPr>
          <xdr:cNvSpPr/>
        </xdr:nvSpPr>
        <xdr:spPr>
          <a:xfrm>
            <a:off x="4105276" y="981075"/>
            <a:ext cx="3133724" cy="419100"/>
          </a:xfrm>
          <a:prstGeom prst="roundRect">
            <a:avLst>
              <a:gd name="adj" fmla="val 50000"/>
            </a:avLst>
          </a:prstGeom>
          <a:solidFill>
            <a:schemeClr val="bg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>
              <a:solidFill>
                <a:srgbClr val="FF0000"/>
              </a:solidFill>
            </a:endParaRPr>
          </a:p>
        </xdr:txBody>
      </xdr:sp>
      <xdr:sp macro="[0]!IngresarPantallas" textlink="">
        <xdr:nvSpPr>
          <xdr:cNvPr id="42" name="Rectángulo 41">
            <a:extLst>
              <a:ext uri="{FF2B5EF4-FFF2-40B4-BE49-F238E27FC236}">
                <a16:creationId xmlns:a16="http://schemas.microsoft.com/office/drawing/2014/main" id="{73639183-1B44-40B3-BD7D-A192F795CC6F}"/>
              </a:ext>
            </a:extLst>
          </xdr:cNvPr>
          <xdr:cNvSpPr/>
        </xdr:nvSpPr>
        <xdr:spPr>
          <a:xfrm>
            <a:off x="4334445" y="883735"/>
            <a:ext cx="2646814" cy="46974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2400" b="1" cap="none" spc="0">
                <a:ln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Pantallas 350000</a:t>
            </a:r>
          </a:p>
        </xdr:txBody>
      </xdr:sp>
    </xdr:grpSp>
    <xdr:clientData/>
  </xdr:twoCellAnchor>
  <xdr:twoCellAnchor>
    <xdr:from>
      <xdr:col>3</xdr:col>
      <xdr:colOff>323850</xdr:colOff>
      <xdr:row>9</xdr:row>
      <xdr:rowOff>57148</xdr:rowOff>
    </xdr:from>
    <xdr:to>
      <xdr:col>7</xdr:col>
      <xdr:colOff>333324</xdr:colOff>
      <xdr:row>12</xdr:row>
      <xdr:rowOff>56018</xdr:rowOff>
    </xdr:to>
    <xdr:grpSp>
      <xdr:nvGrpSpPr>
        <xdr:cNvPr id="43" name="Grupo 42">
          <a:extLst>
            <a:ext uri="{FF2B5EF4-FFF2-40B4-BE49-F238E27FC236}">
              <a16:creationId xmlns:a16="http://schemas.microsoft.com/office/drawing/2014/main" id="{4713292C-9997-480E-A27C-BB85EEE387D5}"/>
            </a:ext>
          </a:extLst>
        </xdr:cNvPr>
        <xdr:cNvGrpSpPr/>
      </xdr:nvGrpSpPr>
      <xdr:grpSpPr>
        <a:xfrm>
          <a:off x="4572000" y="2409823"/>
          <a:ext cx="3057474" cy="570370"/>
          <a:chOff x="4086472" y="875913"/>
          <a:chExt cx="3008541" cy="624059"/>
        </a:xfrm>
      </xdr:grpSpPr>
      <xdr:sp macro="[0]!IngresarTeclados" textlink="">
        <xdr:nvSpPr>
          <xdr:cNvPr id="44" name="Rectángulo: esquinas redondeadas 43">
            <a:extLst>
              <a:ext uri="{FF2B5EF4-FFF2-40B4-BE49-F238E27FC236}">
                <a16:creationId xmlns:a16="http://schemas.microsoft.com/office/drawing/2014/main" id="{8D229A6D-F73C-4A92-9CBF-A2507B2050C2}"/>
              </a:ext>
            </a:extLst>
          </xdr:cNvPr>
          <xdr:cNvSpPr/>
        </xdr:nvSpPr>
        <xdr:spPr>
          <a:xfrm>
            <a:off x="4105276" y="981075"/>
            <a:ext cx="2905124" cy="419100"/>
          </a:xfrm>
          <a:prstGeom prst="roundRect">
            <a:avLst>
              <a:gd name="adj" fmla="val 5000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>
              <a:solidFill>
                <a:srgbClr val="FF0000"/>
              </a:solidFill>
            </a:endParaRPr>
          </a:p>
        </xdr:txBody>
      </xdr:sp>
      <xdr:sp macro="[0]!IngresarTeclados" textlink="">
        <xdr:nvSpPr>
          <xdr:cNvPr id="45" name="Rectángulo 44">
            <a:extLst>
              <a:ext uri="{FF2B5EF4-FFF2-40B4-BE49-F238E27FC236}">
                <a16:creationId xmlns:a16="http://schemas.microsoft.com/office/drawing/2014/main" id="{25FFC37D-6563-4181-9D13-D76F3BFF2928}"/>
              </a:ext>
            </a:extLst>
          </xdr:cNvPr>
          <xdr:cNvSpPr/>
        </xdr:nvSpPr>
        <xdr:spPr>
          <a:xfrm>
            <a:off x="4086472" y="875913"/>
            <a:ext cx="3008541" cy="624059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s-ES" sz="3200" b="1" cap="none" spc="0">
                <a:ln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Teclados 30000</a:t>
            </a:r>
          </a:p>
        </xdr:txBody>
      </xdr:sp>
    </xdr:grpSp>
    <xdr:clientData/>
  </xdr:twoCellAnchor>
  <xdr:twoCellAnchor>
    <xdr:from>
      <xdr:col>0</xdr:col>
      <xdr:colOff>257174</xdr:colOff>
      <xdr:row>11</xdr:row>
      <xdr:rowOff>180733</xdr:rowOff>
    </xdr:from>
    <xdr:to>
      <xdr:col>2</xdr:col>
      <xdr:colOff>575743</xdr:colOff>
      <xdr:row>15</xdr:row>
      <xdr:rowOff>2093</xdr:rowOff>
    </xdr:to>
    <xdr:sp macro="[0]!BasedeDatosIngresosIr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D936E519-D99D-48A2-88C7-2E4AB37F48CB}"/>
            </a:ext>
          </a:extLst>
        </xdr:cNvPr>
        <xdr:cNvSpPr/>
      </xdr:nvSpPr>
      <xdr:spPr>
        <a:xfrm>
          <a:off x="257174" y="2914408"/>
          <a:ext cx="3804719" cy="583360"/>
        </a:xfrm>
        <a:prstGeom prst="roundRect">
          <a:avLst>
            <a:gd name="adj" fmla="val 50000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542925</xdr:colOff>
      <xdr:row>1</xdr:row>
      <xdr:rowOff>57150</xdr:rowOff>
    </xdr:from>
    <xdr:to>
      <xdr:col>7</xdr:col>
      <xdr:colOff>361950</xdr:colOff>
      <xdr:row>2</xdr:row>
      <xdr:rowOff>285750</xdr:rowOff>
    </xdr:to>
    <xdr:sp macro="" textlink="">
      <xdr:nvSpPr>
        <xdr:cNvPr id="6" name="Rectángulo 5"/>
        <xdr:cNvSpPr/>
      </xdr:nvSpPr>
      <xdr:spPr>
        <a:xfrm>
          <a:off x="4791075" y="247650"/>
          <a:ext cx="2867025" cy="581025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>
              <a:solidFill>
                <a:schemeClr val="tx1"/>
              </a:solidFill>
              <a:latin typeface="Century Gothic" panose="020B0502020202020204" pitchFamily="34" charset="0"/>
            </a:rPr>
            <a:t>chasis 120000</a:t>
          </a:r>
        </a:p>
      </xdr:txBody>
    </xdr:sp>
    <xdr:clientData/>
  </xdr:twoCellAnchor>
  <xdr:twoCellAnchor>
    <xdr:from>
      <xdr:col>0</xdr:col>
      <xdr:colOff>219075</xdr:colOff>
      <xdr:row>6</xdr:row>
      <xdr:rowOff>38100</xdr:rowOff>
    </xdr:from>
    <xdr:to>
      <xdr:col>2</xdr:col>
      <xdr:colOff>142875</xdr:colOff>
      <xdr:row>10</xdr:row>
      <xdr:rowOff>47625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D56A7023-4AE4-45DC-ADEF-047039BB8F37}"/>
            </a:ext>
          </a:extLst>
        </xdr:cNvPr>
        <xdr:cNvGrpSpPr/>
      </xdr:nvGrpSpPr>
      <xdr:grpSpPr>
        <a:xfrm>
          <a:off x="219075" y="1819275"/>
          <a:ext cx="3409950" cy="771525"/>
          <a:chOff x="1479315" y="1027887"/>
          <a:chExt cx="3768960" cy="896163"/>
        </a:xfrm>
      </xdr:grpSpPr>
      <xdr:sp macro="[0]!VolverAInicio" textlink="">
        <xdr:nvSpPr>
          <xdr:cNvPr id="25" name="Rectángulo: esquinas redondeadas 2">
            <a:extLst>
              <a:ext uri="{FF2B5EF4-FFF2-40B4-BE49-F238E27FC236}">
                <a16:creationId xmlns:a16="http://schemas.microsoft.com/office/drawing/2014/main" id="{C2B7826A-DE75-4C03-ABF0-490E288771EE}"/>
              </a:ext>
            </a:extLst>
          </xdr:cNvPr>
          <xdr:cNvSpPr/>
        </xdr:nvSpPr>
        <xdr:spPr>
          <a:xfrm>
            <a:off x="1479315" y="1207910"/>
            <a:ext cx="3768960" cy="716140"/>
          </a:xfrm>
          <a:prstGeom prst="roundRect">
            <a:avLst>
              <a:gd name="adj" fmla="val 50000"/>
            </a:avLst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VolverAInicio" textlink="">
        <xdr:nvSpPr>
          <xdr:cNvPr id="26" name="Rectángulo 25">
            <a:extLst>
              <a:ext uri="{FF2B5EF4-FFF2-40B4-BE49-F238E27FC236}">
                <a16:creationId xmlns:a16="http://schemas.microsoft.com/office/drawing/2014/main" id="{1E85847C-E358-434F-A83B-7CB7827C6581}"/>
              </a:ext>
            </a:extLst>
          </xdr:cNvPr>
          <xdr:cNvSpPr/>
        </xdr:nvSpPr>
        <xdr:spPr>
          <a:xfrm>
            <a:off x="2538276" y="1027887"/>
            <a:ext cx="1744547" cy="778068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s-ES" sz="4000" b="1" cap="none" spc="0">
                <a:ln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I</a:t>
            </a:r>
            <a:r>
              <a:rPr lang="es-ES" sz="4000" b="1" cap="none" spc="0" baseline="0">
                <a:ln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nicio</a:t>
            </a:r>
            <a:endParaRPr lang="es-ES" sz="4000" b="1" cap="none" spc="0">
              <a:ln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0</xdr:col>
      <xdr:colOff>247649</xdr:colOff>
      <xdr:row>11</xdr:row>
      <xdr:rowOff>180734</xdr:rowOff>
    </xdr:from>
    <xdr:to>
      <xdr:col>2</xdr:col>
      <xdr:colOff>566218</xdr:colOff>
      <xdr:row>15</xdr:row>
      <xdr:rowOff>2093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27820225-7D4D-41EB-BC3F-07D4C766B4C7}"/>
            </a:ext>
          </a:extLst>
        </xdr:cNvPr>
        <xdr:cNvGrpSpPr/>
      </xdr:nvGrpSpPr>
      <xdr:grpSpPr>
        <a:xfrm>
          <a:off x="247649" y="2914409"/>
          <a:ext cx="3804719" cy="583359"/>
          <a:chOff x="4633198" y="2148097"/>
          <a:chExt cx="3642786" cy="630739"/>
        </a:xfrm>
      </xdr:grpSpPr>
      <xdr:sp macro="[0]!BasedeDatosIngresosIr" textlink="">
        <xdr:nvSpPr>
          <xdr:cNvPr id="32" name="Rectángulo: esquinas redondeadas 49">
            <a:extLst>
              <a:ext uri="{FF2B5EF4-FFF2-40B4-BE49-F238E27FC236}">
                <a16:creationId xmlns:a16="http://schemas.microsoft.com/office/drawing/2014/main" id="{D936E519-D99D-48A2-88C7-2E4AB37F48CB}"/>
              </a:ext>
            </a:extLst>
          </xdr:cNvPr>
          <xdr:cNvSpPr/>
        </xdr:nvSpPr>
        <xdr:spPr>
          <a:xfrm>
            <a:off x="4633198" y="2148097"/>
            <a:ext cx="3642786" cy="630739"/>
          </a:xfrm>
          <a:prstGeom prst="roundRect">
            <a:avLst>
              <a:gd name="adj" fmla="val 50000"/>
            </a:avLst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BasedeDatosIngresosIr" textlink="">
        <xdr:nvSpPr>
          <xdr:cNvPr id="33" name="Rectángulo 32">
            <a:extLst>
              <a:ext uri="{FF2B5EF4-FFF2-40B4-BE49-F238E27FC236}">
                <a16:creationId xmlns:a16="http://schemas.microsoft.com/office/drawing/2014/main" id="{6B890177-0486-43AD-8476-5F23608A79C0}"/>
              </a:ext>
            </a:extLst>
          </xdr:cNvPr>
          <xdr:cNvSpPr/>
        </xdr:nvSpPr>
        <xdr:spPr>
          <a:xfrm>
            <a:off x="4915906" y="2199851"/>
            <a:ext cx="3095246" cy="507897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s-ES" sz="2400" b="1" cap="none" spc="0">
                <a:ln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Base de Datos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466724</xdr:colOff>
      <xdr:row>3</xdr:row>
      <xdr:rowOff>47623</xdr:rowOff>
    </xdr:from>
    <xdr:to>
      <xdr:col>11</xdr:col>
      <xdr:colOff>266699</xdr:colOff>
      <xdr:row>5</xdr:row>
      <xdr:rowOff>107847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A3FCA7E5-291E-4ABD-A892-C4A5B849CAF2}"/>
            </a:ext>
          </a:extLst>
        </xdr:cNvPr>
        <xdr:cNvGrpSpPr/>
      </xdr:nvGrpSpPr>
      <xdr:grpSpPr>
        <a:xfrm>
          <a:off x="7448549" y="1000123"/>
          <a:ext cx="2847975" cy="784124"/>
          <a:chOff x="1499335" y="1267700"/>
          <a:chExt cx="4127589" cy="701721"/>
        </a:xfrm>
        <a:solidFill>
          <a:schemeClr val="tx1">
            <a:lumMod val="95000"/>
            <a:lumOff val="5000"/>
          </a:schemeClr>
        </a:solidFill>
      </xdr:grpSpPr>
      <xdr:sp macro="[0]!VolverAInicio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8C4A8339-BCC1-437F-8881-0FC987127D25}"/>
              </a:ext>
            </a:extLst>
          </xdr:cNvPr>
          <xdr:cNvSpPr/>
        </xdr:nvSpPr>
        <xdr:spPr>
          <a:xfrm>
            <a:off x="1600200" y="1304925"/>
            <a:ext cx="3648075" cy="619125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VolverAInicio" textlink="">
        <xdr:nvSpPr>
          <xdr:cNvPr id="4" name="Rectángulo 3">
            <a:extLst>
              <a:ext uri="{FF2B5EF4-FFF2-40B4-BE49-F238E27FC236}">
                <a16:creationId xmlns:a16="http://schemas.microsoft.com/office/drawing/2014/main" id="{58F37691-99AB-455E-ADC8-74F88CAE3D56}"/>
              </a:ext>
            </a:extLst>
          </xdr:cNvPr>
          <xdr:cNvSpPr/>
        </xdr:nvSpPr>
        <xdr:spPr>
          <a:xfrm>
            <a:off x="1499335" y="1267700"/>
            <a:ext cx="4127589" cy="701721"/>
          </a:xfrm>
          <a:prstGeom prst="rect">
            <a:avLst/>
          </a:prstGeom>
          <a:grp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s-ES" sz="4400" b="1" cap="none" spc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I</a:t>
            </a:r>
            <a:r>
              <a:rPr lang="es-ES" sz="4400" b="1" cap="none" spc="0" baseline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nicio</a:t>
            </a:r>
            <a:endParaRPr lang="es-ES" sz="4400" b="1" cap="none" spc="0">
              <a:ln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</xdr:col>
      <xdr:colOff>209548</xdr:colOff>
      <xdr:row>3</xdr:row>
      <xdr:rowOff>123399</xdr:rowOff>
    </xdr:from>
    <xdr:to>
      <xdr:col>6</xdr:col>
      <xdr:colOff>761999</xdr:colOff>
      <xdr:row>4</xdr:row>
      <xdr:rowOff>302316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852ECBC3-9FAF-4705-8985-117FB1BF60A0}"/>
            </a:ext>
          </a:extLst>
        </xdr:cNvPr>
        <xdr:cNvGrpSpPr/>
      </xdr:nvGrpSpPr>
      <xdr:grpSpPr>
        <a:xfrm>
          <a:off x="3381373" y="1075899"/>
          <a:ext cx="3600451" cy="540867"/>
          <a:chOff x="3992378" y="883735"/>
          <a:chExt cx="3473312" cy="593304"/>
        </a:xfrm>
        <a:solidFill>
          <a:schemeClr val="accent1">
            <a:lumMod val="50000"/>
          </a:schemeClr>
        </a:solidFill>
      </xdr:grpSpPr>
      <xdr:sp macro="[0]!PagoNómina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5CA790CD-FB39-4A0E-AE4E-C271A18F30A2}"/>
              </a:ext>
            </a:extLst>
          </xdr:cNvPr>
          <xdr:cNvSpPr/>
        </xdr:nvSpPr>
        <xdr:spPr>
          <a:xfrm>
            <a:off x="4105275" y="981075"/>
            <a:ext cx="3047999" cy="419100"/>
          </a:xfrm>
          <a:prstGeom prst="roundRect">
            <a:avLst>
              <a:gd name="adj" fmla="val 50000"/>
            </a:avLst>
          </a:prstGeom>
          <a:grp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>
              <a:solidFill>
                <a:srgbClr val="FF0000"/>
              </a:solidFill>
            </a:endParaRPr>
          </a:p>
        </xdr:txBody>
      </xdr:sp>
      <xdr:sp macro="[0]!PagoNómina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A339BE70-A7E3-45E1-99E3-E7D89111444D}"/>
              </a:ext>
            </a:extLst>
          </xdr:cNvPr>
          <xdr:cNvSpPr/>
        </xdr:nvSpPr>
        <xdr:spPr>
          <a:xfrm>
            <a:off x="4146509" y="883735"/>
            <a:ext cx="2946492" cy="593304"/>
          </a:xfrm>
          <a:prstGeom prst="rect">
            <a:avLst/>
          </a:prstGeom>
          <a:grpFill/>
          <a:ln>
            <a:solidFill>
              <a:sysClr val="windowText" lastClr="000000"/>
            </a:solidFill>
          </a:ln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3200" b="1" cap="none" spc="0">
                <a:ln/>
                <a:pattFill prst="dkUpDiag">
                  <a:fgClr>
                    <a:schemeClr val="bg1">
                      <a:lumMod val="50000"/>
                    </a:schemeClr>
                  </a:fgClr>
                  <a:bgClr>
                    <a:schemeClr val="tx1">
                      <a:lumMod val="75000"/>
                      <a:lumOff val="25000"/>
                    </a:schemeClr>
                  </a:bgClr>
                </a:patt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Pagar</a:t>
            </a:r>
            <a:r>
              <a:rPr lang="es-ES" sz="3200" b="1" cap="none" spc="0" baseline="0">
                <a:ln/>
                <a:pattFill prst="dkUpDiag">
                  <a:fgClr>
                    <a:schemeClr val="bg1">
                      <a:lumMod val="50000"/>
                    </a:schemeClr>
                  </a:fgClr>
                  <a:bgClr>
                    <a:schemeClr val="tx1">
                      <a:lumMod val="75000"/>
                      <a:lumOff val="25000"/>
                    </a:schemeClr>
                  </a:bgClr>
                </a:patt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 Nómina</a:t>
            </a:r>
            <a:endParaRPr lang="es-ES" sz="32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endParaRPr>
          </a:p>
        </xdr:txBody>
      </xdr:sp>
      <xdr:sp macro="[0]!PagoNómina" textlink="">
        <xdr:nvSpPr>
          <xdr:cNvPr id="20" name="Rectángulo 19">
            <a:extLst>
              <a:ext uri="{FF2B5EF4-FFF2-40B4-BE49-F238E27FC236}">
                <a16:creationId xmlns:a16="http://schemas.microsoft.com/office/drawing/2014/main" id="{A339BE70-A7E3-45E1-99E3-E7D89111444D}"/>
              </a:ext>
            </a:extLst>
          </xdr:cNvPr>
          <xdr:cNvSpPr/>
        </xdr:nvSpPr>
        <xdr:spPr>
          <a:xfrm>
            <a:off x="3992378" y="884203"/>
            <a:ext cx="3473312" cy="584216"/>
          </a:xfrm>
          <a:prstGeom prst="rect">
            <a:avLst/>
          </a:prstGeom>
          <a:grpFill/>
          <a:ln>
            <a:solidFill>
              <a:sysClr val="windowText" lastClr="000000"/>
            </a:solidFill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s-ES" sz="2800" b="1" cap="none" spc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Pagar</a:t>
            </a:r>
            <a:r>
              <a:rPr lang="es-ES" sz="2800" b="1" cap="none" spc="0" baseline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 Nómina</a:t>
            </a:r>
            <a:endParaRPr lang="es-ES" sz="2800" b="1" cap="none" spc="0">
              <a:ln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</xdr:col>
      <xdr:colOff>342899</xdr:colOff>
      <xdr:row>1</xdr:row>
      <xdr:rowOff>19048</xdr:rowOff>
    </xdr:from>
    <xdr:to>
      <xdr:col>4</xdr:col>
      <xdr:colOff>695324</xdr:colOff>
      <xdr:row>2</xdr:row>
      <xdr:rowOff>266700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867C324E-4EBE-4DD2-9144-213FEC7D3A94}"/>
            </a:ext>
          </a:extLst>
        </xdr:cNvPr>
        <xdr:cNvGrpSpPr/>
      </xdr:nvGrpSpPr>
      <xdr:grpSpPr>
        <a:xfrm>
          <a:off x="3514724" y="209548"/>
          <a:ext cx="1876425" cy="609602"/>
          <a:chOff x="3950424" y="900684"/>
          <a:chExt cx="3485970" cy="542451"/>
        </a:xfrm>
        <a:solidFill>
          <a:schemeClr val="accent1">
            <a:lumMod val="50000"/>
          </a:schemeClr>
        </a:solidFill>
      </xdr:grpSpPr>
      <xdr:sp macro="[0]!IngresarSalidas" textlink="">
        <xdr:nvSpPr>
          <xdr:cNvPr id="18" name="Rectángulo: esquinas redondeadas 17">
            <a:extLst>
              <a:ext uri="{FF2B5EF4-FFF2-40B4-BE49-F238E27FC236}">
                <a16:creationId xmlns:a16="http://schemas.microsoft.com/office/drawing/2014/main" id="{34DA08DB-609E-4B4E-B729-83B7A5351B6B}"/>
              </a:ext>
            </a:extLst>
          </xdr:cNvPr>
          <xdr:cNvSpPr/>
        </xdr:nvSpPr>
        <xdr:spPr>
          <a:xfrm>
            <a:off x="4105275" y="981075"/>
            <a:ext cx="3047999" cy="4191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>
              <a:solidFill>
                <a:srgbClr val="FF0000"/>
              </a:solidFill>
            </a:endParaRPr>
          </a:p>
        </xdr:txBody>
      </xdr:sp>
      <xdr:sp macro="[0]!IngresarSalidas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E5F96360-B5AE-4E64-AF6E-13D8C1D9B662}"/>
              </a:ext>
            </a:extLst>
          </xdr:cNvPr>
          <xdr:cNvSpPr/>
        </xdr:nvSpPr>
        <xdr:spPr>
          <a:xfrm>
            <a:off x="3950424" y="900684"/>
            <a:ext cx="3485970" cy="542451"/>
          </a:xfrm>
          <a:prstGeom prst="rect">
            <a:avLst/>
          </a:prstGeom>
          <a:grp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es-ES" sz="2800" b="1" cap="none" spc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Ingresar</a:t>
            </a:r>
          </a:p>
        </xdr:txBody>
      </xdr:sp>
    </xdr:grpSp>
    <xdr:clientData/>
  </xdr:twoCellAnchor>
  <xdr:twoCellAnchor>
    <xdr:from>
      <xdr:col>2</xdr:col>
      <xdr:colOff>72636</xdr:colOff>
      <xdr:row>5</xdr:row>
      <xdr:rowOff>28087</xdr:rowOff>
    </xdr:from>
    <xdr:to>
      <xdr:col>7</xdr:col>
      <xdr:colOff>123824</xdr:colOff>
      <xdr:row>7</xdr:row>
      <xdr:rowOff>161925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85427BC1-DCA0-4E73-8CE0-7AA728A89175}"/>
            </a:ext>
          </a:extLst>
        </xdr:cNvPr>
        <xdr:cNvGrpSpPr/>
      </xdr:nvGrpSpPr>
      <xdr:grpSpPr>
        <a:xfrm>
          <a:off x="3244461" y="1704487"/>
          <a:ext cx="3861188" cy="514838"/>
          <a:chOff x="4237464" y="1310833"/>
          <a:chExt cx="2945880" cy="493367"/>
        </a:xfrm>
        <a:solidFill>
          <a:schemeClr val="accent1">
            <a:lumMod val="50000"/>
          </a:schemeClr>
        </a:solidFill>
      </xdr:grpSpPr>
      <xdr:sp macro="[0]!PagarBoni" textlink="">
        <xdr:nvSpPr>
          <xdr:cNvPr id="56" name="Rectángulo 55">
            <a:extLst>
              <a:ext uri="{FF2B5EF4-FFF2-40B4-BE49-F238E27FC236}">
                <a16:creationId xmlns:a16="http://schemas.microsoft.com/office/drawing/2014/main" id="{8F0F19C3-D299-4983-932E-61D407689BB1}"/>
              </a:ext>
            </a:extLst>
          </xdr:cNvPr>
          <xdr:cNvSpPr/>
        </xdr:nvSpPr>
        <xdr:spPr>
          <a:xfrm>
            <a:off x="4244731" y="1319961"/>
            <a:ext cx="2938613" cy="484239"/>
          </a:xfrm>
          <a:prstGeom prst="rect">
            <a:avLst/>
          </a:prstGeom>
          <a:grpFill/>
        </xdr:spPr>
        <xdr:txBody>
          <a:bodyPr wrap="square" lIns="91440" tIns="45720" rIns="91440" bIns="45720">
            <a:noAutofit/>
          </a:bodyPr>
          <a:lstStyle/>
          <a:p>
            <a:pPr algn="ctr"/>
            <a:endParaRPr lang="es-ES" sz="3600" b="1" cap="none" spc="0">
              <a:ln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Century Gothic" panose="020B0502020202020204" pitchFamily="34" charset="0"/>
            </a:endParaRPr>
          </a:p>
        </xdr:txBody>
      </xdr:sp>
      <xdr:sp macro="[0]!PagarBoni" textlink="">
        <xdr:nvSpPr>
          <xdr:cNvPr id="57" name="Rectángulo 56">
            <a:extLst>
              <a:ext uri="{FF2B5EF4-FFF2-40B4-BE49-F238E27FC236}">
                <a16:creationId xmlns:a16="http://schemas.microsoft.com/office/drawing/2014/main" id="{8F0F19C3-D299-4983-932E-61D407689BB1}"/>
              </a:ext>
            </a:extLst>
          </xdr:cNvPr>
          <xdr:cNvSpPr/>
        </xdr:nvSpPr>
        <xdr:spPr>
          <a:xfrm>
            <a:off x="4237464" y="1310833"/>
            <a:ext cx="2873210" cy="450153"/>
          </a:xfrm>
          <a:prstGeom prst="rect">
            <a:avLst/>
          </a:prstGeom>
          <a:grp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s-ES" sz="2400" b="1" cap="none" spc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pagar bonificación</a:t>
            </a:r>
          </a:p>
        </xdr:txBody>
      </xdr:sp>
    </xdr:grpSp>
    <xdr:clientData/>
  </xdr:twoCellAnchor>
  <xdr:twoCellAnchor>
    <xdr:from>
      <xdr:col>7</xdr:col>
      <xdr:colOff>642596</xdr:colOff>
      <xdr:row>6</xdr:row>
      <xdr:rowOff>76200</xdr:rowOff>
    </xdr:from>
    <xdr:to>
      <xdr:col>12</xdr:col>
      <xdr:colOff>471804</xdr:colOff>
      <xdr:row>9</xdr:row>
      <xdr:rowOff>133350</xdr:rowOff>
    </xdr:to>
    <xdr:grpSp>
      <xdr:nvGrpSpPr>
        <xdr:cNvPr id="72" name="Grupo 71">
          <a:extLst>
            <a:ext uri="{FF2B5EF4-FFF2-40B4-BE49-F238E27FC236}">
              <a16:creationId xmlns:a16="http://schemas.microsoft.com/office/drawing/2014/main" id="{A4C05106-9B47-4AC6-AA76-6F9733735050}"/>
            </a:ext>
          </a:extLst>
        </xdr:cNvPr>
        <xdr:cNvGrpSpPr/>
      </xdr:nvGrpSpPr>
      <xdr:grpSpPr>
        <a:xfrm>
          <a:off x="7624421" y="1943100"/>
          <a:ext cx="3639208" cy="628650"/>
          <a:chOff x="1912163" y="1140910"/>
          <a:chExt cx="3052733" cy="793650"/>
        </a:xfrm>
      </xdr:grpSpPr>
      <xdr:sp macro="[0]!IrABaseDatosSalidas" textlink="">
        <xdr:nvSpPr>
          <xdr:cNvPr id="74" name="Rectángulo 73">
            <a:extLst>
              <a:ext uri="{FF2B5EF4-FFF2-40B4-BE49-F238E27FC236}">
                <a16:creationId xmlns:a16="http://schemas.microsoft.com/office/drawing/2014/main" id="{678EDA13-7948-47A5-9C90-63A612901F0D}"/>
              </a:ext>
            </a:extLst>
          </xdr:cNvPr>
          <xdr:cNvSpPr/>
        </xdr:nvSpPr>
        <xdr:spPr>
          <a:xfrm>
            <a:off x="1912163" y="1140910"/>
            <a:ext cx="3052733" cy="718466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4000" b="1" cap="none" spc="0">
                <a:ln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Base de Datos</a:t>
            </a:r>
          </a:p>
        </xdr:txBody>
      </xdr:sp>
      <xdr:sp macro="[0]!IrABaseDatosSalidas" textlink="">
        <xdr:nvSpPr>
          <xdr:cNvPr id="75" name="Rectángulo 74">
            <a:extLst>
              <a:ext uri="{FF2B5EF4-FFF2-40B4-BE49-F238E27FC236}">
                <a16:creationId xmlns:a16="http://schemas.microsoft.com/office/drawing/2014/main" id="{678EDA13-7948-47A5-9C90-63A612901F0D}"/>
              </a:ext>
            </a:extLst>
          </xdr:cNvPr>
          <xdr:cNvSpPr/>
        </xdr:nvSpPr>
        <xdr:spPr>
          <a:xfrm>
            <a:off x="3340973" y="1150435"/>
            <a:ext cx="176869" cy="784125"/>
          </a:xfrm>
          <a:prstGeom prst="rect">
            <a:avLst/>
          </a:prstGeom>
          <a:noFill/>
          <a:ln>
            <a:noFill/>
          </a:ln>
        </xdr:spPr>
        <xdr:txBody>
          <a:bodyPr wrap="none" lIns="91440" tIns="45720" rIns="91440" bIns="45720">
            <a:spAutoFit/>
          </a:bodyPr>
          <a:lstStyle/>
          <a:p>
            <a:pPr algn="ctr"/>
            <a:endParaRPr lang="es-ES" sz="44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6</xdr:row>
      <xdr:rowOff>152400</xdr:rowOff>
    </xdr:from>
    <xdr:to>
      <xdr:col>6</xdr:col>
      <xdr:colOff>352425</xdr:colOff>
      <xdr:row>21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8D99BB-850D-4FE7-90E1-3489AB620A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263992</xdr:colOff>
      <xdr:row>0</xdr:row>
      <xdr:rowOff>104775</xdr:rowOff>
    </xdr:from>
    <xdr:to>
      <xdr:col>14</xdr:col>
      <xdr:colOff>39431</xdr:colOff>
      <xdr:row>4</xdr:row>
      <xdr:rowOff>15082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FDFCC88-C853-485E-BEB6-6575D6EC6903}"/>
            </a:ext>
          </a:extLst>
        </xdr:cNvPr>
        <xdr:cNvGrpSpPr/>
      </xdr:nvGrpSpPr>
      <xdr:grpSpPr>
        <a:xfrm>
          <a:off x="5769442" y="104775"/>
          <a:ext cx="5871439" cy="843757"/>
          <a:chOff x="1600200" y="1159960"/>
          <a:chExt cx="3648075" cy="843757"/>
        </a:xfrm>
      </xdr:grpSpPr>
      <xdr:sp macro="[0]!VerMejorVendedor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CB8FC333-1A76-4EEB-93F9-30DB18966023}"/>
              </a:ext>
            </a:extLst>
          </xdr:cNvPr>
          <xdr:cNvSpPr/>
        </xdr:nvSpPr>
        <xdr:spPr>
          <a:xfrm>
            <a:off x="1600200" y="1304925"/>
            <a:ext cx="3648075" cy="619125"/>
          </a:xfrm>
          <a:prstGeom prst="roundRect">
            <a:avLst>
              <a:gd name="adj" fmla="val 50000"/>
            </a:avLst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VerMejorVendedor" textlink="">
        <xdr:nvSpPr>
          <xdr:cNvPr id="5" name="Rectángulo 4">
            <a:extLst>
              <a:ext uri="{FF2B5EF4-FFF2-40B4-BE49-F238E27FC236}">
                <a16:creationId xmlns:a16="http://schemas.microsoft.com/office/drawing/2014/main" id="{9664216D-D7C8-4032-A11F-041CC0DBE788}"/>
              </a:ext>
            </a:extLst>
          </xdr:cNvPr>
          <xdr:cNvSpPr/>
        </xdr:nvSpPr>
        <xdr:spPr>
          <a:xfrm>
            <a:off x="1761671" y="1159960"/>
            <a:ext cx="3349659" cy="843757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endParaRPr lang="es-ES" sz="48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endParaRPr>
          </a:p>
        </xdr:txBody>
      </xdr:sp>
      <xdr:sp macro="[0]!VerMejorVendedor" textlink="">
        <xdr:nvSpPr>
          <xdr:cNvPr id="9" name="Rectángulo 8">
            <a:extLst>
              <a:ext uri="{FF2B5EF4-FFF2-40B4-BE49-F238E27FC236}">
                <a16:creationId xmlns:a16="http://schemas.microsoft.com/office/drawing/2014/main" id="{9664216D-D7C8-4032-A11F-041CC0DBE788}"/>
              </a:ext>
            </a:extLst>
          </xdr:cNvPr>
          <xdr:cNvSpPr/>
        </xdr:nvSpPr>
        <xdr:spPr>
          <a:xfrm>
            <a:off x="1773507" y="1283785"/>
            <a:ext cx="3349659" cy="595484"/>
          </a:xfrm>
          <a:prstGeom prst="rect">
            <a:avLst/>
          </a:prstGeom>
          <a:noFill/>
          <a:ln>
            <a:noFill/>
          </a:ln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s-ES" sz="3200" b="1" cap="none" spc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Ver</a:t>
            </a:r>
            <a:r>
              <a:rPr lang="es-ES" sz="3200" b="1" cap="none" spc="0" baseline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 Mejor Vendedor</a:t>
            </a:r>
            <a:endParaRPr lang="es-ES" sz="3200" b="1" cap="none" spc="0">
              <a:ln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8</xdr:col>
      <xdr:colOff>304800</xdr:colOff>
      <xdr:row>16</xdr:row>
      <xdr:rowOff>30665</xdr:rowOff>
    </xdr:from>
    <xdr:to>
      <xdr:col>10</xdr:col>
      <xdr:colOff>485775</xdr:colOff>
      <xdr:row>19</xdr:row>
      <xdr:rowOff>78290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C80C26BE-28F7-4BE4-9C3B-7AE188C17779}"/>
            </a:ext>
          </a:extLst>
        </xdr:cNvPr>
        <xdr:cNvGrpSpPr/>
      </xdr:nvGrpSpPr>
      <xdr:grpSpPr>
        <a:xfrm>
          <a:off x="7334250" y="4278815"/>
          <a:ext cx="1704975" cy="619125"/>
          <a:chOff x="1600200" y="1304925"/>
          <a:chExt cx="3648075" cy="619125"/>
        </a:xfrm>
        <a:solidFill>
          <a:schemeClr val="tx1">
            <a:lumMod val="65000"/>
            <a:lumOff val="35000"/>
          </a:schemeClr>
        </a:solidFill>
      </xdr:grpSpPr>
      <xdr:sp macro="[0]!VolverAInicio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AAC027AB-398A-4E70-B319-D8CAAF018585}"/>
              </a:ext>
            </a:extLst>
          </xdr:cNvPr>
          <xdr:cNvSpPr/>
        </xdr:nvSpPr>
        <xdr:spPr>
          <a:xfrm>
            <a:off x="1600200" y="1304925"/>
            <a:ext cx="3648075" cy="619125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VolverAInicio" textlink="">
        <xdr:nvSpPr>
          <xdr:cNvPr id="8" name="Rectángulo 7">
            <a:extLst>
              <a:ext uri="{FF2B5EF4-FFF2-40B4-BE49-F238E27FC236}">
                <a16:creationId xmlns:a16="http://schemas.microsoft.com/office/drawing/2014/main" id="{1A6F9366-0DD4-411A-9A84-4F5A0E619C97}"/>
              </a:ext>
            </a:extLst>
          </xdr:cNvPr>
          <xdr:cNvSpPr/>
        </xdr:nvSpPr>
        <xdr:spPr>
          <a:xfrm>
            <a:off x="2303315" y="1312360"/>
            <a:ext cx="2392693" cy="532582"/>
          </a:xfrm>
          <a:prstGeom prst="rect">
            <a:avLst/>
          </a:prstGeom>
          <a:grpFill/>
          <a:ln>
            <a:noFill/>
          </a:ln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2800" b="1" cap="none" spc="0">
                <a:ln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inicio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8</xdr:row>
      <xdr:rowOff>180975</xdr:rowOff>
    </xdr:from>
    <xdr:to>
      <xdr:col>4</xdr:col>
      <xdr:colOff>619125</xdr:colOff>
      <xdr:row>11</xdr:row>
      <xdr:rowOff>133350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70B2DC98-3022-479F-AF7D-B101F73D2270}"/>
            </a:ext>
          </a:extLst>
        </xdr:cNvPr>
        <xdr:cNvGrpSpPr/>
      </xdr:nvGrpSpPr>
      <xdr:grpSpPr>
        <a:xfrm>
          <a:off x="1028700" y="2543175"/>
          <a:ext cx="2914650" cy="523875"/>
          <a:chOff x="1568841" y="1521610"/>
          <a:chExt cx="3648075" cy="3432626"/>
        </a:xfrm>
      </xdr:grpSpPr>
      <xdr:sp macro="[0]!VolveraIngreso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3DE9D8E1-999E-468C-ADB3-BC4F7A3E6CA4}"/>
              </a:ext>
            </a:extLst>
          </xdr:cNvPr>
          <xdr:cNvSpPr/>
        </xdr:nvSpPr>
        <xdr:spPr>
          <a:xfrm>
            <a:off x="1568841" y="1567909"/>
            <a:ext cx="3648075" cy="3386327"/>
          </a:xfrm>
          <a:prstGeom prst="roundRect">
            <a:avLst>
              <a:gd name="adj" fmla="val 50000"/>
            </a:avLst>
          </a:prstGeom>
          <a:solidFill>
            <a:schemeClr val="accent2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VolveraIngresos" textlink="">
        <xdr:nvSpPr>
          <xdr:cNvPr id="4" name="Rectángulo 3">
            <a:extLst>
              <a:ext uri="{FF2B5EF4-FFF2-40B4-BE49-F238E27FC236}">
                <a16:creationId xmlns:a16="http://schemas.microsoft.com/office/drawing/2014/main" id="{B627252C-F95E-4098-BBD7-6C420C5797E2}"/>
              </a:ext>
            </a:extLst>
          </xdr:cNvPr>
          <xdr:cNvSpPr/>
        </xdr:nvSpPr>
        <xdr:spPr>
          <a:xfrm>
            <a:off x="2319917" y="1521610"/>
            <a:ext cx="2402877" cy="3301140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>
            <a:noFill/>
          </a:ln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s-ES" sz="3600" b="1" cap="none" spc="0">
                <a:ln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Ingresos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85724</xdr:colOff>
      <xdr:row>0</xdr:row>
      <xdr:rowOff>9527</xdr:rowOff>
    </xdr:from>
    <xdr:to>
      <xdr:col>13</xdr:col>
      <xdr:colOff>581025</xdr:colOff>
      <xdr:row>0</xdr:row>
      <xdr:rowOff>847725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B00C5B3F-6416-4AD1-8839-EB2B5067B540}"/>
            </a:ext>
          </a:extLst>
        </xdr:cNvPr>
        <xdr:cNvGrpSpPr/>
      </xdr:nvGrpSpPr>
      <xdr:grpSpPr>
        <a:xfrm>
          <a:off x="7010399" y="9527"/>
          <a:ext cx="3819526" cy="838198"/>
          <a:chOff x="1568840" y="1140910"/>
          <a:chExt cx="3752605" cy="3988661"/>
        </a:xfrm>
      </xdr:grpSpPr>
      <xdr:sp macro="[0]!VolveraIngreso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CDB680D3-D898-4450-8FEF-93FD527150C8}"/>
              </a:ext>
            </a:extLst>
          </xdr:cNvPr>
          <xdr:cNvSpPr/>
        </xdr:nvSpPr>
        <xdr:spPr>
          <a:xfrm>
            <a:off x="1568840" y="1567909"/>
            <a:ext cx="3752605" cy="3386327"/>
          </a:xfrm>
          <a:prstGeom prst="roundRect">
            <a:avLst>
              <a:gd name="adj" fmla="val 50000"/>
            </a:avLst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VolveraIngresos" textlink="">
        <xdr:nvSpPr>
          <xdr:cNvPr id="4" name="Rectángulo 3">
            <a:extLst>
              <a:ext uri="{FF2B5EF4-FFF2-40B4-BE49-F238E27FC236}">
                <a16:creationId xmlns:a16="http://schemas.microsoft.com/office/drawing/2014/main" id="{4F9F166A-AA2A-4B52-B49F-8DED5462A2E2}"/>
              </a:ext>
            </a:extLst>
          </xdr:cNvPr>
          <xdr:cNvSpPr/>
        </xdr:nvSpPr>
        <xdr:spPr>
          <a:xfrm>
            <a:off x="2164536" y="1140910"/>
            <a:ext cx="2547982" cy="3988661"/>
          </a:xfrm>
          <a:prstGeom prst="rect">
            <a:avLst/>
          </a:prstGeom>
          <a:noFill/>
          <a:ln>
            <a:noFill/>
          </a:ln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s-ES" sz="4800" b="1" cap="none" spc="0">
                <a:ln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ingresos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114300</xdr:colOff>
      <xdr:row>5</xdr:row>
      <xdr:rowOff>57893</xdr:rowOff>
    </xdr:from>
    <xdr:to>
      <xdr:col>17</xdr:col>
      <xdr:colOff>542925</xdr:colOff>
      <xdr:row>9</xdr:row>
      <xdr:rowOff>57150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AF030CDE-301D-461D-BE35-0E175D854B69}"/>
            </a:ext>
          </a:extLst>
        </xdr:cNvPr>
        <xdr:cNvGrpSpPr/>
      </xdr:nvGrpSpPr>
      <xdr:grpSpPr>
        <a:xfrm>
          <a:off x="10020300" y="1810493"/>
          <a:ext cx="3476625" cy="761257"/>
          <a:chOff x="1568841" y="1567909"/>
          <a:chExt cx="3648075" cy="3386327"/>
        </a:xfrm>
        <a:solidFill>
          <a:schemeClr val="accent2">
            <a:lumMod val="20000"/>
            <a:lumOff val="80000"/>
          </a:schemeClr>
        </a:solidFill>
      </xdr:grpSpPr>
      <xdr:sp macro="[0]!VolveraIngresos" textlink="">
        <xdr:nvSpPr>
          <xdr:cNvPr id="6" name="Rectángulo: esquinas redondeadas 8">
            <a:extLst>
              <a:ext uri="{FF2B5EF4-FFF2-40B4-BE49-F238E27FC236}">
                <a16:creationId xmlns:a16="http://schemas.microsoft.com/office/drawing/2014/main" id="{3B848CE7-88A5-4810-B935-7EAA9B686854}"/>
              </a:ext>
            </a:extLst>
          </xdr:cNvPr>
          <xdr:cNvSpPr/>
        </xdr:nvSpPr>
        <xdr:spPr>
          <a:xfrm>
            <a:off x="1568841" y="1567909"/>
            <a:ext cx="3648075" cy="3386327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VolveraIngresos" textlink="">
        <xdr:nvSpPr>
          <xdr:cNvPr id="7" name="Rectángulo 6">
            <a:extLst>
              <a:ext uri="{FF2B5EF4-FFF2-40B4-BE49-F238E27FC236}">
                <a16:creationId xmlns:a16="http://schemas.microsoft.com/office/drawing/2014/main" id="{615BDC0B-D995-426C-8868-4BF9844F2EE4}"/>
              </a:ext>
            </a:extLst>
          </xdr:cNvPr>
          <xdr:cNvSpPr/>
        </xdr:nvSpPr>
        <xdr:spPr>
          <a:xfrm>
            <a:off x="2178518" y="1861193"/>
            <a:ext cx="2533998" cy="2455147"/>
          </a:xfrm>
          <a:prstGeom prst="rect">
            <a:avLst/>
          </a:prstGeom>
          <a:grpFill/>
          <a:ln>
            <a:noFill/>
          </a:ln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s-ES" sz="4800" b="1" cap="none" spc="0">
                <a:ln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Ingresos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133348</xdr:colOff>
      <xdr:row>7</xdr:row>
      <xdr:rowOff>125254</xdr:rowOff>
    </xdr:from>
    <xdr:to>
      <xdr:col>17</xdr:col>
      <xdr:colOff>666749</xdr:colOff>
      <xdr:row>11</xdr:row>
      <xdr:rowOff>133350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F57C9225-84C7-47C7-B290-58EC3A63B9F3}"/>
            </a:ext>
          </a:extLst>
        </xdr:cNvPr>
        <xdr:cNvGrpSpPr/>
      </xdr:nvGrpSpPr>
      <xdr:grpSpPr>
        <a:xfrm>
          <a:off x="10039348" y="2249329"/>
          <a:ext cx="3581401" cy="770096"/>
          <a:chOff x="5273919" y="11627566"/>
          <a:chExt cx="3901573" cy="2648092"/>
        </a:xfrm>
      </xdr:grpSpPr>
      <xdr:sp macro="[0]!VolveraIngresos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49E606C8-1186-414B-B913-AF7BACAE412A}"/>
              </a:ext>
            </a:extLst>
          </xdr:cNvPr>
          <xdr:cNvSpPr/>
        </xdr:nvSpPr>
        <xdr:spPr>
          <a:xfrm>
            <a:off x="5273919" y="11627566"/>
            <a:ext cx="3901573" cy="2648092"/>
          </a:xfrm>
          <a:prstGeom prst="roundRect">
            <a:avLst>
              <a:gd name="adj" fmla="val 50000"/>
            </a:avLst>
          </a:prstGeom>
          <a:solidFill>
            <a:schemeClr val="accent2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VolveraIngresos" textlink="">
        <xdr:nvSpPr>
          <xdr:cNvPr id="10" name="Rectángulo 9">
            <a:extLst>
              <a:ext uri="{FF2B5EF4-FFF2-40B4-BE49-F238E27FC236}">
                <a16:creationId xmlns:a16="http://schemas.microsoft.com/office/drawing/2014/main" id="{B92A94AC-ED00-40E8-8B2D-BE018A92B8F4}"/>
              </a:ext>
            </a:extLst>
          </xdr:cNvPr>
          <xdr:cNvSpPr/>
        </xdr:nvSpPr>
        <xdr:spPr>
          <a:xfrm>
            <a:off x="5900553" y="11688155"/>
            <a:ext cx="2725038" cy="1934534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>
            <a:noFill/>
          </a:ln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s-ES" sz="4800" b="1" cap="none" spc="0">
                <a:ln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Ingresos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0</xdr:row>
      <xdr:rowOff>9527</xdr:rowOff>
    </xdr:from>
    <xdr:to>
      <xdr:col>13</xdr:col>
      <xdr:colOff>85724</xdr:colOff>
      <xdr:row>0</xdr:row>
      <xdr:rowOff>809625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90F0EB9-FBEE-4852-B5F2-6E5B6809ABF2}"/>
            </a:ext>
          </a:extLst>
        </xdr:cNvPr>
        <xdr:cNvGrpSpPr/>
      </xdr:nvGrpSpPr>
      <xdr:grpSpPr>
        <a:xfrm>
          <a:off x="6943725" y="9527"/>
          <a:ext cx="3047999" cy="800098"/>
          <a:chOff x="1568841" y="1140910"/>
          <a:chExt cx="3648075" cy="3813326"/>
        </a:xfrm>
      </xdr:grpSpPr>
      <xdr:sp macro="[0]!VolveraIngreso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585396F0-5E0B-4A6E-8780-70CBA2221A01}"/>
              </a:ext>
            </a:extLst>
          </xdr:cNvPr>
          <xdr:cNvSpPr/>
        </xdr:nvSpPr>
        <xdr:spPr>
          <a:xfrm>
            <a:off x="1568841" y="1567909"/>
            <a:ext cx="3648075" cy="3386327"/>
          </a:xfrm>
          <a:prstGeom prst="roundRect">
            <a:avLst>
              <a:gd name="adj" fmla="val 50000"/>
            </a:avLst>
          </a:prstGeom>
          <a:solidFill>
            <a:schemeClr val="bg2">
              <a:lumMod val="9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VolveraIngresos" textlink="">
        <xdr:nvSpPr>
          <xdr:cNvPr id="4" name="Rectángulo 3">
            <a:extLst>
              <a:ext uri="{FF2B5EF4-FFF2-40B4-BE49-F238E27FC236}">
                <a16:creationId xmlns:a16="http://schemas.microsoft.com/office/drawing/2014/main" id="{154A4C44-1C9E-4DF7-8694-EB965074E0ED}"/>
              </a:ext>
            </a:extLst>
          </xdr:cNvPr>
          <xdr:cNvSpPr/>
        </xdr:nvSpPr>
        <xdr:spPr>
          <a:xfrm>
            <a:off x="2164535" y="1140910"/>
            <a:ext cx="2547983" cy="3175434"/>
          </a:xfrm>
          <a:prstGeom prst="rect">
            <a:avLst/>
          </a:prstGeom>
          <a:noFill/>
          <a:ln>
            <a:noFill/>
          </a:ln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s-ES" sz="4800" b="1" cap="none" spc="0">
                <a:ln/>
                <a:pattFill prst="dkUpDiag">
                  <a:fgClr>
                    <a:schemeClr val="bg1">
                      <a:lumMod val="50000"/>
                    </a:schemeClr>
                  </a:fgClr>
                  <a:bgClr>
                    <a:schemeClr val="tx1">
                      <a:lumMod val="75000"/>
                      <a:lumOff val="25000"/>
                    </a:schemeClr>
                  </a:bgClr>
                </a:patt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Ingresos</a:t>
            </a:r>
          </a:p>
        </xdr:txBody>
      </xdr:sp>
    </xdr:grpSp>
    <xdr:clientData/>
  </xdr:twoCellAnchor>
  <xdr:twoCellAnchor editAs="oneCell">
    <xdr:from>
      <xdr:col>19</xdr:col>
      <xdr:colOff>600075</xdr:colOff>
      <xdr:row>5</xdr:row>
      <xdr:rowOff>123825</xdr:rowOff>
    </xdr:from>
    <xdr:to>
      <xdr:col>24</xdr:col>
      <xdr:colOff>368737</xdr:colOff>
      <xdr:row>12</xdr:row>
      <xdr:rowOff>155947</xdr:rowOff>
    </xdr:to>
    <xdr:pic macro="[0]!button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78075" y="1800225"/>
          <a:ext cx="3578662" cy="136562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0</xdr:row>
      <xdr:rowOff>0</xdr:rowOff>
    </xdr:from>
    <xdr:to>
      <xdr:col>13</xdr:col>
      <xdr:colOff>0</xdr:colOff>
      <xdr:row>0</xdr:row>
      <xdr:rowOff>866775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EE7D5888-9402-4FA8-875F-45179766842B}"/>
            </a:ext>
          </a:extLst>
        </xdr:cNvPr>
        <xdr:cNvGrpSpPr/>
      </xdr:nvGrpSpPr>
      <xdr:grpSpPr>
        <a:xfrm>
          <a:off x="7962900" y="0"/>
          <a:ext cx="2076450" cy="866775"/>
          <a:chOff x="1568841" y="1140910"/>
          <a:chExt cx="3648075" cy="3988661"/>
        </a:xfrm>
      </xdr:grpSpPr>
      <xdr:sp macro="[0]!VolverASalida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8D2FB211-F52B-40C6-92FE-C6EF0D053849}"/>
              </a:ext>
            </a:extLst>
          </xdr:cNvPr>
          <xdr:cNvSpPr/>
        </xdr:nvSpPr>
        <xdr:spPr>
          <a:xfrm>
            <a:off x="1568841" y="1567909"/>
            <a:ext cx="3648075" cy="3386327"/>
          </a:xfrm>
          <a:prstGeom prst="roundRect">
            <a:avLst>
              <a:gd name="adj" fmla="val 50000"/>
            </a:avLst>
          </a:prstGeom>
          <a:solidFill>
            <a:schemeClr val="bg2">
              <a:lumMod val="9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VolverASalidas" textlink="">
        <xdr:nvSpPr>
          <xdr:cNvPr id="4" name="Rectángulo 3">
            <a:extLst>
              <a:ext uri="{FF2B5EF4-FFF2-40B4-BE49-F238E27FC236}">
                <a16:creationId xmlns:a16="http://schemas.microsoft.com/office/drawing/2014/main" id="{A13F9AE4-8189-4435-A4AF-C62AB3C91387}"/>
              </a:ext>
            </a:extLst>
          </xdr:cNvPr>
          <xdr:cNvSpPr/>
        </xdr:nvSpPr>
        <xdr:spPr>
          <a:xfrm>
            <a:off x="2164536" y="1140910"/>
            <a:ext cx="2547982" cy="3988661"/>
          </a:xfrm>
          <a:prstGeom prst="rect">
            <a:avLst/>
          </a:prstGeom>
          <a:noFill/>
          <a:ln>
            <a:noFill/>
          </a:ln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es-ES" sz="4800" b="1" cap="none" spc="0">
                <a:ln/>
                <a:pattFill prst="dkUpDiag">
                  <a:fgClr>
                    <a:schemeClr val="bg1">
                      <a:lumMod val="50000"/>
                    </a:schemeClr>
                  </a:fgClr>
                  <a:bgClr>
                    <a:schemeClr val="tx1">
                      <a:lumMod val="75000"/>
                      <a:lumOff val="25000"/>
                    </a:schemeClr>
                  </a:bgClr>
                </a:patt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</a:rPr>
              <a:t>Salidas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E2:K22"/>
  <sheetViews>
    <sheetView tabSelected="1" zoomScaleNormal="100" workbookViewId="0">
      <selection activeCell="N14" sqref="N14"/>
    </sheetView>
  </sheetViews>
  <sheetFormatPr baseColWidth="10" defaultRowHeight="15" x14ac:dyDescent="0.25"/>
  <sheetData>
    <row r="2" spans="5:11" ht="15" customHeight="1" x14ac:dyDescent="0.25">
      <c r="E2" s="26" t="s">
        <v>28</v>
      </c>
      <c r="F2" s="27"/>
      <c r="G2" s="27"/>
      <c r="H2" s="27"/>
      <c r="I2" s="27"/>
      <c r="J2" s="27"/>
      <c r="K2" s="28"/>
    </row>
    <row r="3" spans="5:11" ht="15" customHeight="1" x14ac:dyDescent="0.25">
      <c r="E3" s="29"/>
      <c r="F3" s="30"/>
      <c r="G3" s="30"/>
      <c r="H3" s="30"/>
      <c r="I3" s="30"/>
      <c r="J3" s="30"/>
      <c r="K3" s="31"/>
    </row>
    <row r="4" spans="5:11" ht="15" customHeight="1" x14ac:dyDescent="0.25">
      <c r="E4" s="29"/>
      <c r="F4" s="30"/>
      <c r="G4" s="30"/>
      <c r="H4" s="30"/>
      <c r="I4" s="30"/>
      <c r="J4" s="30"/>
      <c r="K4" s="31"/>
    </row>
    <row r="5" spans="5:11" x14ac:dyDescent="0.25">
      <c r="E5" s="32"/>
      <c r="F5" s="33"/>
      <c r="G5" s="33"/>
      <c r="H5" s="33"/>
      <c r="I5" s="33"/>
      <c r="J5" s="33"/>
      <c r="K5" s="34"/>
    </row>
    <row r="6" spans="5:11" x14ac:dyDescent="0.25">
      <c r="E6" s="6"/>
      <c r="F6" s="7"/>
      <c r="G6" s="7"/>
      <c r="H6" s="7"/>
      <c r="I6" s="7"/>
      <c r="J6" s="7"/>
      <c r="K6" s="8"/>
    </row>
    <row r="7" spans="5:11" x14ac:dyDescent="0.25">
      <c r="E7" s="9"/>
      <c r="F7" s="10"/>
      <c r="G7" s="10"/>
      <c r="H7" s="10"/>
      <c r="I7" s="10"/>
      <c r="J7" s="10"/>
      <c r="K7" s="11"/>
    </row>
    <row r="8" spans="5:11" x14ac:dyDescent="0.25">
      <c r="E8" s="9"/>
      <c r="F8" s="10"/>
      <c r="G8" s="10"/>
      <c r="H8" s="10"/>
      <c r="I8" s="10"/>
      <c r="J8" s="10"/>
      <c r="K8" s="11"/>
    </row>
    <row r="9" spans="5:11" x14ac:dyDescent="0.25">
      <c r="E9" s="9"/>
      <c r="F9" s="10"/>
      <c r="G9" s="10"/>
      <c r="H9" s="10"/>
      <c r="I9" s="10"/>
      <c r="J9" s="10"/>
      <c r="K9" s="11"/>
    </row>
    <row r="10" spans="5:11" x14ac:dyDescent="0.25">
      <c r="E10" s="9"/>
      <c r="F10" s="10"/>
      <c r="G10" s="10"/>
      <c r="H10" s="10"/>
      <c r="I10" s="10"/>
      <c r="J10" s="10"/>
      <c r="K10" s="11"/>
    </row>
    <row r="11" spans="5:11" x14ac:dyDescent="0.25">
      <c r="E11" s="9"/>
      <c r="F11" s="10"/>
      <c r="G11" s="10"/>
      <c r="H11" s="10"/>
      <c r="I11" s="10"/>
      <c r="J11" s="10"/>
      <c r="K11" s="11"/>
    </row>
    <row r="12" spans="5:11" x14ac:dyDescent="0.25">
      <c r="E12" s="9"/>
      <c r="F12" s="10"/>
      <c r="G12" s="10"/>
      <c r="H12" s="10"/>
      <c r="I12" s="10"/>
      <c r="J12" s="10"/>
      <c r="K12" s="11"/>
    </row>
    <row r="13" spans="5:11" x14ac:dyDescent="0.25">
      <c r="E13" s="9"/>
      <c r="F13" s="10"/>
      <c r="G13" s="10"/>
      <c r="H13" s="10"/>
      <c r="I13" s="10"/>
      <c r="J13" s="10"/>
      <c r="K13" s="11"/>
    </row>
    <row r="14" spans="5:11" x14ac:dyDescent="0.25">
      <c r="E14" s="9"/>
      <c r="F14" s="10"/>
      <c r="G14" s="10"/>
      <c r="H14" s="10"/>
      <c r="I14" s="10"/>
      <c r="K14" s="11"/>
    </row>
    <row r="15" spans="5:11" x14ac:dyDescent="0.25">
      <c r="E15" s="21"/>
      <c r="F15" s="10"/>
      <c r="G15" s="10"/>
      <c r="H15" s="10"/>
      <c r="I15" s="10"/>
      <c r="J15" s="10"/>
      <c r="K15" s="11"/>
    </row>
    <row r="16" spans="5:11" x14ac:dyDescent="0.25">
      <c r="E16" s="9"/>
      <c r="F16" s="10"/>
      <c r="G16" s="10"/>
      <c r="H16" s="10"/>
      <c r="I16" s="10"/>
      <c r="J16" s="10"/>
      <c r="K16" s="11"/>
    </row>
    <row r="17" spans="5:11" x14ac:dyDescent="0.25">
      <c r="E17" s="9"/>
      <c r="F17" s="10"/>
      <c r="G17" s="10"/>
      <c r="H17" s="10"/>
      <c r="I17" s="10"/>
      <c r="J17" s="10"/>
      <c r="K17" s="11"/>
    </row>
    <row r="18" spans="5:11" x14ac:dyDescent="0.25">
      <c r="E18" s="9"/>
      <c r="F18" s="10"/>
      <c r="G18" s="10"/>
      <c r="H18" s="10"/>
      <c r="I18" s="10"/>
      <c r="J18" s="10"/>
      <c r="K18" s="11"/>
    </row>
    <row r="19" spans="5:11" x14ac:dyDescent="0.25">
      <c r="E19" s="9"/>
      <c r="F19" s="10"/>
      <c r="G19" s="10"/>
      <c r="H19" s="10"/>
      <c r="I19" s="10"/>
      <c r="J19" s="10"/>
      <c r="K19" s="11"/>
    </row>
    <row r="20" spans="5:11" x14ac:dyDescent="0.25">
      <c r="E20" s="9"/>
      <c r="F20" s="10"/>
      <c r="G20" s="10"/>
      <c r="H20" s="10"/>
      <c r="I20" s="10"/>
      <c r="J20" s="10"/>
      <c r="K20" s="11"/>
    </row>
    <row r="21" spans="5:11" x14ac:dyDescent="0.25">
      <c r="E21" s="9"/>
      <c r="F21" s="10"/>
      <c r="G21" s="10"/>
      <c r="H21" s="10"/>
      <c r="I21" s="10"/>
      <c r="J21" s="10"/>
      <c r="K21" s="11"/>
    </row>
    <row r="22" spans="5:11" x14ac:dyDescent="0.25">
      <c r="E22" s="12"/>
      <c r="F22" s="13"/>
      <c r="G22" s="13"/>
      <c r="H22" s="13"/>
      <c r="I22" s="13"/>
      <c r="J22" s="13"/>
      <c r="K22" s="14"/>
    </row>
  </sheetData>
  <mergeCells count="1">
    <mergeCell ref="E2:K5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B5"/>
  <sheetViews>
    <sheetView workbookViewId="0">
      <selection activeCell="I5" sqref="I5"/>
    </sheetView>
  </sheetViews>
  <sheetFormatPr baseColWidth="10" defaultRowHeight="15" x14ac:dyDescent="0.25"/>
  <cols>
    <col min="2" max="2" width="40.85546875" customWidth="1"/>
  </cols>
  <sheetData>
    <row r="2" spans="2:2" ht="27.75" customHeight="1" x14ac:dyDescent="0.45">
      <c r="B2" s="15" t="s">
        <v>0</v>
      </c>
    </row>
    <row r="3" spans="2:2" ht="28.5" customHeight="1" x14ac:dyDescent="0.5">
      <c r="B3" s="16" t="s">
        <v>33</v>
      </c>
    </row>
    <row r="4" spans="2:2" ht="29.25" customHeight="1" x14ac:dyDescent="0.45">
      <c r="B4" s="15" t="s">
        <v>1</v>
      </c>
    </row>
    <row r="5" spans="2:2" ht="24.75" customHeight="1" x14ac:dyDescent="0.45">
      <c r="B5" s="18">
        <v>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5"/>
  <sheetViews>
    <sheetView workbookViewId="0">
      <selection activeCell="B5" sqref="B5"/>
    </sheetView>
  </sheetViews>
  <sheetFormatPr baseColWidth="10" defaultRowHeight="15" x14ac:dyDescent="0.25"/>
  <cols>
    <col min="2" max="2" width="36.140625" customWidth="1"/>
  </cols>
  <sheetData>
    <row r="2" spans="2:2" ht="28.5" x14ac:dyDescent="0.45">
      <c r="B2" s="17" t="s">
        <v>13</v>
      </c>
    </row>
    <row r="3" spans="2:2" ht="31.5" x14ac:dyDescent="0.5">
      <c r="B3" s="23" t="s">
        <v>34</v>
      </c>
    </row>
    <row r="4" spans="2:2" ht="28.5" x14ac:dyDescent="0.45">
      <c r="B4" s="24" t="s">
        <v>14</v>
      </c>
    </row>
    <row r="5" spans="2:2" ht="28.5" x14ac:dyDescent="0.45">
      <c r="B5" s="25">
        <v>120000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K14"/>
  <sheetViews>
    <sheetView workbookViewId="0">
      <selection activeCell="I9" sqref="I9:K9"/>
    </sheetView>
  </sheetViews>
  <sheetFormatPr baseColWidth="10" defaultRowHeight="15" x14ac:dyDescent="0.25"/>
  <cols>
    <col min="2" max="2" width="13.7109375" customWidth="1"/>
    <col min="3" max="3" width="14" customWidth="1"/>
    <col min="4" max="4" width="13.85546875" customWidth="1"/>
    <col min="5" max="5" width="16" customWidth="1"/>
    <col min="6" max="6" width="13.5703125" customWidth="1"/>
  </cols>
  <sheetData>
    <row r="2" spans="2:11" ht="28.5" x14ac:dyDescent="0.45">
      <c r="B2" s="37" t="s">
        <v>23</v>
      </c>
      <c r="C2" s="38"/>
      <c r="D2" s="38"/>
      <c r="E2" s="38"/>
      <c r="F2" s="39"/>
    </row>
    <row r="3" spans="2:11" x14ac:dyDescent="0.25">
      <c r="B3" s="19" t="s">
        <v>2</v>
      </c>
      <c r="C3" s="20" t="s">
        <v>3</v>
      </c>
      <c r="D3" s="20" t="s">
        <v>4</v>
      </c>
      <c r="E3" s="20" t="s">
        <v>5</v>
      </c>
      <c r="F3" s="20" t="s">
        <v>6</v>
      </c>
      <c r="J3" s="4"/>
    </row>
    <row r="4" spans="2:11" x14ac:dyDescent="0.25">
      <c r="B4" s="22">
        <f>SUM('BD Ingresos Juan pablo'!Q3,'BD Ingresos simon'!Q3,' Ingresos Felipe'!Q3,' Ingresos alejandro'!Q3)</f>
        <v>47</v>
      </c>
      <c r="C4" s="22">
        <f>SUM('BD Ingresos Juan pablo'!R3,'BD Ingresos simon'!R3,' Ingresos Felipe'!R3,' Ingresos alejandro'!R3)</f>
        <v>45</v>
      </c>
      <c r="D4" s="22">
        <f>SUM('BD Ingresos Juan pablo'!S3,'BD Ingresos simon'!S3,' Ingresos Felipe'!S3,' Ingresos alejandro'!S3)</f>
        <v>70</v>
      </c>
      <c r="E4" s="22">
        <f>SUM('BD Ingresos Juan pablo'!T3,'BD Ingresos simon'!T3,' Ingresos Felipe'!T3,' Ingresos alejandro'!T3)</f>
        <v>38</v>
      </c>
      <c r="F4" s="22">
        <f>SUM('BD Ingresos Juan pablo'!U3,'BD Ingresos simon'!U3,' Ingresos Felipe'!U3,' Ingresos alejandro'!U3)</f>
        <v>42</v>
      </c>
      <c r="J4" s="4"/>
    </row>
    <row r="6" spans="2:11" ht="28.5" x14ac:dyDescent="0.45">
      <c r="I6" s="40" t="s">
        <v>24</v>
      </c>
      <c r="J6" s="40"/>
      <c r="K6" s="40"/>
    </row>
    <row r="7" spans="2:11" ht="28.5" x14ac:dyDescent="0.45">
      <c r="I7" s="41" t="str">
        <f>'BD General Ingresos'!I7</f>
        <v>Juan Pablo</v>
      </c>
      <c r="J7" s="41"/>
      <c r="K7" s="41"/>
    </row>
    <row r="8" spans="2:11" ht="28.5" x14ac:dyDescent="0.45">
      <c r="I8" s="40" t="s">
        <v>25</v>
      </c>
      <c r="J8" s="40"/>
      <c r="K8" s="40"/>
    </row>
    <row r="9" spans="2:11" ht="28.5" x14ac:dyDescent="0.45">
      <c r="I9" s="36">
        <f>'BD General Ingresos'!N3*0.05</f>
        <v>2273500</v>
      </c>
      <c r="J9" s="36"/>
      <c r="K9" s="36"/>
    </row>
    <row r="13" spans="2:11" ht="28.5" x14ac:dyDescent="0.45">
      <c r="I13" s="35" t="s">
        <v>26</v>
      </c>
      <c r="J13" s="35"/>
      <c r="K13" s="35"/>
    </row>
    <row r="14" spans="2:11" ht="28.5" x14ac:dyDescent="0.45">
      <c r="I14" s="36">
        <f>'BD General Ingresos'!N3-'BD Salidas'!I3-'BD Salidas'!L3-'BD Salidas'!O3</f>
        <v>-23005000</v>
      </c>
      <c r="J14" s="36"/>
      <c r="K14" s="36"/>
    </row>
  </sheetData>
  <mergeCells count="7">
    <mergeCell ref="I13:K13"/>
    <mergeCell ref="I14:K14"/>
    <mergeCell ref="B2:F2"/>
    <mergeCell ref="I6:K6"/>
    <mergeCell ref="I7:K7"/>
    <mergeCell ref="I8:K8"/>
    <mergeCell ref="I9:K9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N12"/>
  <sheetViews>
    <sheetView workbookViewId="0">
      <selection activeCell="H12" sqref="H12"/>
    </sheetView>
  </sheetViews>
  <sheetFormatPr baseColWidth="10" defaultRowHeight="15" x14ac:dyDescent="0.25"/>
  <cols>
    <col min="3" max="3" width="13.28515625" customWidth="1"/>
    <col min="4" max="4" width="13.7109375" customWidth="1"/>
    <col min="5" max="5" width="14.85546875" customWidth="1"/>
    <col min="6" max="6" width="11.85546875" bestFit="1" customWidth="1"/>
    <col min="10" max="11" width="11.85546875" bestFit="1" customWidth="1"/>
  </cols>
  <sheetData>
    <row r="1" spans="1:14" ht="81" customHeight="1" x14ac:dyDescent="0.25"/>
    <row r="2" spans="1:14" x14ac:dyDescent="0.25">
      <c r="A2" s="2" t="s">
        <v>7</v>
      </c>
      <c r="B2" s="2" t="s">
        <v>8</v>
      </c>
      <c r="C2" s="2" t="s">
        <v>9</v>
      </c>
      <c r="D2" s="2" t="s">
        <v>10</v>
      </c>
      <c r="E2" s="2" t="s">
        <v>11</v>
      </c>
      <c r="H2" s="2" t="s">
        <v>2</v>
      </c>
      <c r="I2" s="2" t="s">
        <v>3</v>
      </c>
      <c r="J2" s="2" t="s">
        <v>4</v>
      </c>
      <c r="K2" s="2" t="s">
        <v>5</v>
      </c>
      <c r="L2" s="2" t="s">
        <v>6</v>
      </c>
      <c r="N2" s="2" t="s">
        <v>19</v>
      </c>
    </row>
    <row r="3" spans="1:14" x14ac:dyDescent="0.25">
      <c r="A3" s="2">
        <f>SUM('BD Ingresos Juan pablo'!J3,'BD Ingresos simon'!J3,' Ingresos Felipe'!J3,' Ingresos alejandro'!J3)</f>
        <v>5640000</v>
      </c>
      <c r="B3" s="2">
        <f>SUM('BD Ingresos Juan pablo'!K3,'BD Ingresos simon'!K3,' Ingresos Felipe'!K3,' Ingresos alejandro'!K3)</f>
        <v>11250000</v>
      </c>
      <c r="C3" s="2">
        <f>SUM('BD Ingresos Juan pablo'!L3,'BD Ingresos simon'!L3,' Ingresos Felipe'!L3,' Ingresos alejandro'!L3)</f>
        <v>24500000</v>
      </c>
      <c r="D3" s="2">
        <f>SUM('BD Ingresos Juan pablo'!M3,'BD Ingresos simon'!M3,' Ingresos Felipe'!M3,' Ingresos alejandro'!M3)</f>
        <v>1140000</v>
      </c>
      <c r="E3" s="2">
        <f>SUM('BD Ingresos Juan pablo'!N3,'BD Ingresos simon'!N3,' Ingresos Felipe'!N3,' Ingresos alejandro'!N3)</f>
        <v>2940000</v>
      </c>
      <c r="G3" s="2" t="s">
        <v>15</v>
      </c>
      <c r="H3" s="2">
        <f>SUM('BD Ingresos Juan pablo'!Q3,'BD Ingresos simon'!Q3,' Ingresos Felipe'!Q3,' Ingresos alejandro'!Q3)</f>
        <v>47</v>
      </c>
      <c r="I3" s="2">
        <f>SUM('BD Ingresos Juan pablo'!R3,'BD Ingresos simon'!R3,' Ingresos Felipe'!R3,' Ingresos alejandro'!R3)</f>
        <v>45</v>
      </c>
      <c r="J3" s="2">
        <f>SUM('BD Ingresos Juan pablo'!S3,'BD Ingresos simon'!S3,' Ingresos Felipe'!S3,' Ingresos alejandro'!S3)</f>
        <v>70</v>
      </c>
      <c r="K3" s="2">
        <f>SUM('BD Ingresos Juan pablo'!T3,'BD Ingresos simon'!T3,' Ingresos Felipe'!T3,' Ingresos alejandro'!T3)</f>
        <v>38</v>
      </c>
      <c r="L3" s="2">
        <f>SUM('BD Ingresos Juan pablo'!U3,'BD Ingresos simon'!U3,' Ingresos Felipe'!U3,' Ingresos alejandro'!U3)</f>
        <v>42</v>
      </c>
      <c r="N3" s="2">
        <f>SUM(A3,B3,C3,D3,E3)</f>
        <v>45470000</v>
      </c>
    </row>
    <row r="4" spans="1:14" x14ac:dyDescent="0.25">
      <c r="A4" s="2" t="s">
        <v>27</v>
      </c>
      <c r="B4" s="2" t="s">
        <v>27</v>
      </c>
      <c r="C4" s="2" t="s">
        <v>27</v>
      </c>
      <c r="D4" s="2" t="s">
        <v>27</v>
      </c>
      <c r="E4" s="2" t="s">
        <v>27</v>
      </c>
    </row>
    <row r="5" spans="1:14" x14ac:dyDescent="0.25">
      <c r="A5">
        <v>120000</v>
      </c>
      <c r="B5">
        <v>250000</v>
      </c>
      <c r="C5">
        <v>350000</v>
      </c>
      <c r="D5">
        <v>30000</v>
      </c>
      <c r="E5">
        <v>70000</v>
      </c>
    </row>
    <row r="6" spans="1:14" x14ac:dyDescent="0.25">
      <c r="I6" s="2" t="s">
        <v>22</v>
      </c>
      <c r="M6">
        <f>'BD Ingresos Juan pablo'!W3</f>
        <v>31380000</v>
      </c>
      <c r="N6" t="s">
        <v>29</v>
      </c>
    </row>
    <row r="7" spans="1:14" x14ac:dyDescent="0.25">
      <c r="I7" t="str">
        <f>VLOOKUP(J7,M6:N9,2,FALSE)</f>
        <v>Juan Pablo</v>
      </c>
      <c r="J7">
        <f>MAX('BD Ingresos Juan pablo'!W3,'BD Ingresos simon'!W3,' Ingresos Felipe'!W3,' Ingresos alejandro'!W3)</f>
        <v>31380000</v>
      </c>
      <c r="M7">
        <f>'BD Ingresos simon'!W3</f>
        <v>5490000</v>
      </c>
      <c r="N7" t="s">
        <v>30</v>
      </c>
    </row>
    <row r="8" spans="1:14" x14ac:dyDescent="0.25">
      <c r="M8">
        <f>' Ingresos Felipe'!W3</f>
        <v>3780000</v>
      </c>
      <c r="N8" t="s">
        <v>31</v>
      </c>
    </row>
    <row r="9" spans="1:14" x14ac:dyDescent="0.25">
      <c r="M9">
        <f>' Ingresos alejandro'!W3</f>
        <v>4820000</v>
      </c>
      <c r="N9" t="s">
        <v>32</v>
      </c>
    </row>
    <row r="10" spans="1:14" x14ac:dyDescent="0.25">
      <c r="D10" s="5"/>
    </row>
    <row r="11" spans="1:14" x14ac:dyDescent="0.25">
      <c r="D11" s="5"/>
    </row>
    <row r="12" spans="1:14" x14ac:dyDescent="0.25">
      <c r="D12" s="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X179"/>
  <sheetViews>
    <sheetView topLeftCell="J1" workbookViewId="0">
      <selection activeCell="O1" sqref="O1"/>
    </sheetView>
  </sheetViews>
  <sheetFormatPr baseColWidth="10" defaultRowHeight="15" x14ac:dyDescent="0.25"/>
  <cols>
    <col min="3" max="3" width="12" bestFit="1" customWidth="1"/>
    <col min="9" max="9" width="11.85546875" bestFit="1" customWidth="1"/>
    <col min="12" max="12" width="13.5703125" customWidth="1"/>
    <col min="13" max="13" width="13.42578125" customWidth="1"/>
    <col min="14" max="14" width="14.7109375" customWidth="1"/>
    <col min="23" max="23" width="12" customWidth="1"/>
  </cols>
  <sheetData>
    <row r="1" spans="2:24" ht="77.25" customHeight="1" x14ac:dyDescent="0.25"/>
    <row r="2" spans="2:24" ht="14.25" customHeight="1" x14ac:dyDescent="0.25"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Q2" s="2" t="s">
        <v>2</v>
      </c>
      <c r="R2" s="2" t="s">
        <v>3</v>
      </c>
      <c r="S2" s="2" t="s">
        <v>4</v>
      </c>
      <c r="T2" s="2" t="s">
        <v>5</v>
      </c>
      <c r="U2" s="2" t="s">
        <v>6</v>
      </c>
      <c r="W2" s="2" t="s">
        <v>19</v>
      </c>
    </row>
    <row r="3" spans="2:24" ht="14.25" customHeight="1" x14ac:dyDescent="0.25">
      <c r="J3" s="2">
        <f>SUM(C:C)*120000</f>
        <v>3480000</v>
      </c>
      <c r="K3" s="2">
        <f>SUM(D:D)*250000</f>
        <v>7500000</v>
      </c>
      <c r="L3" s="2">
        <f>SUM(E:E)*350000</f>
        <v>18550000</v>
      </c>
      <c r="M3" s="2">
        <f>SUM(F:F)*30000</f>
        <v>450000</v>
      </c>
      <c r="N3" s="2">
        <f>SUM(G:G)*70000</f>
        <v>1400000</v>
      </c>
      <c r="P3" s="2" t="s">
        <v>15</v>
      </c>
      <c r="Q3" s="2">
        <f>SUM(C:C)</f>
        <v>29</v>
      </c>
      <c r="R3" s="2">
        <f>SUM(D:D)</f>
        <v>30</v>
      </c>
      <c r="S3" s="2">
        <f>SUM(E:E)</f>
        <v>53</v>
      </c>
      <c r="T3" s="2">
        <f>SUM(F:F)</f>
        <v>15</v>
      </c>
      <c r="U3" s="2">
        <f>SUM(G:G)</f>
        <v>20</v>
      </c>
      <c r="W3" s="2">
        <f>SUM(J3,K3,L3,M3,N3)</f>
        <v>31380000</v>
      </c>
      <c r="X3" s="2" t="s">
        <v>33</v>
      </c>
    </row>
    <row r="4" spans="2:24" ht="14.25" customHeight="1" x14ac:dyDescent="0.25">
      <c r="B4" s="2" t="s">
        <v>12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</row>
    <row r="5" spans="2:24" ht="14.25" customHeight="1" x14ac:dyDescent="0.25">
      <c r="B5" s="2" t="s">
        <v>33</v>
      </c>
      <c r="C5" s="2">
        <v>29</v>
      </c>
      <c r="D5" s="2">
        <v>30</v>
      </c>
      <c r="E5" s="2">
        <v>53</v>
      </c>
      <c r="F5" s="2">
        <v>15</v>
      </c>
      <c r="G5" s="2">
        <v>20</v>
      </c>
    </row>
    <row r="6" spans="2:24" ht="14.25" customHeight="1" x14ac:dyDescent="0.25">
      <c r="B6" s="2"/>
      <c r="C6" s="2"/>
      <c r="D6" s="2"/>
      <c r="E6" s="2"/>
      <c r="F6" s="2"/>
      <c r="G6" s="2"/>
    </row>
    <row r="7" spans="2:24" ht="14.25" customHeight="1" x14ac:dyDescent="0.25">
      <c r="B7" s="2"/>
      <c r="C7" s="2"/>
      <c r="D7" s="2"/>
      <c r="E7" s="2"/>
      <c r="F7" s="2"/>
      <c r="G7" s="2"/>
    </row>
    <row r="8" spans="2:24" ht="14.25" customHeight="1" x14ac:dyDescent="0.25">
      <c r="B8" s="2"/>
      <c r="C8" s="2"/>
      <c r="D8" s="2"/>
      <c r="E8" s="2"/>
      <c r="F8" s="2"/>
      <c r="G8" s="2"/>
    </row>
    <row r="9" spans="2:24" ht="14.25" customHeight="1" x14ac:dyDescent="0.25">
      <c r="B9" s="2"/>
      <c r="C9" s="2"/>
      <c r="D9" s="2"/>
      <c r="E9" s="2"/>
      <c r="F9" s="2"/>
      <c r="G9" s="2"/>
    </row>
    <row r="10" spans="2:24" ht="14.25" customHeight="1" x14ac:dyDescent="0.25">
      <c r="B10" s="2"/>
      <c r="C10" s="2"/>
      <c r="D10" s="2"/>
      <c r="E10" s="2"/>
      <c r="F10" s="2"/>
      <c r="G10" s="2"/>
    </row>
    <row r="11" spans="2:24" ht="14.25" customHeight="1" x14ac:dyDescent="0.25">
      <c r="B11" s="2"/>
      <c r="C11" s="2"/>
      <c r="D11" s="2"/>
      <c r="E11" s="2"/>
      <c r="F11" s="2"/>
      <c r="G11" s="2"/>
    </row>
    <row r="12" spans="2:24" ht="14.25" customHeight="1" x14ac:dyDescent="0.25">
      <c r="B12" s="2"/>
      <c r="C12" s="2"/>
      <c r="D12" s="2"/>
      <c r="E12" s="2"/>
      <c r="F12" s="2"/>
      <c r="G12" s="2"/>
    </row>
    <row r="13" spans="2:24" ht="14.25" customHeight="1" x14ac:dyDescent="0.25">
      <c r="B13" s="2"/>
      <c r="C13" s="2"/>
      <c r="D13" s="2"/>
      <c r="E13" s="2"/>
      <c r="F13" s="2"/>
      <c r="G13" s="2"/>
    </row>
    <row r="14" spans="2:24" ht="14.25" customHeight="1" x14ac:dyDescent="0.25">
      <c r="B14" s="2"/>
      <c r="C14" s="2"/>
      <c r="D14" s="2"/>
      <c r="E14" s="2"/>
      <c r="F14" s="2"/>
      <c r="G14" s="2"/>
    </row>
    <row r="15" spans="2:24" ht="14.25" customHeight="1" x14ac:dyDescent="0.25">
      <c r="B15" s="2"/>
      <c r="C15" s="2"/>
      <c r="D15" s="2"/>
      <c r="E15" s="2"/>
      <c r="F15" s="2"/>
      <c r="G15" s="2"/>
    </row>
    <row r="16" spans="2:24" ht="14.25" customHeight="1" x14ac:dyDescent="0.25">
      <c r="B16" s="2"/>
      <c r="C16" s="2"/>
      <c r="D16" s="2"/>
      <c r="E16" s="2"/>
      <c r="F16" s="2"/>
      <c r="G16" s="2"/>
    </row>
    <row r="17" spans="2:20" ht="14.25" customHeight="1" x14ac:dyDescent="0.25">
      <c r="B17" s="2"/>
      <c r="C17" s="2"/>
      <c r="D17" s="2"/>
      <c r="E17" s="2"/>
      <c r="F17" s="2"/>
      <c r="G17" s="2"/>
    </row>
    <row r="18" spans="2:20" ht="14.25" customHeight="1" x14ac:dyDescent="0.25">
      <c r="B18" s="2"/>
      <c r="C18" s="2"/>
      <c r="D18" s="2"/>
      <c r="E18" s="2"/>
      <c r="F18" s="2"/>
      <c r="G18" s="2"/>
    </row>
    <row r="19" spans="2:20" ht="14.25" customHeight="1" x14ac:dyDescent="0.25">
      <c r="B19" s="2"/>
      <c r="C19" s="2"/>
      <c r="D19" s="2"/>
      <c r="E19" s="2"/>
      <c r="F19" s="2"/>
      <c r="G19" s="2"/>
    </row>
    <row r="20" spans="2:20" ht="14.25" customHeight="1" x14ac:dyDescent="0.25">
      <c r="B20" s="2"/>
      <c r="C20" s="2"/>
      <c r="D20" s="2"/>
      <c r="E20" s="2"/>
      <c r="F20" s="2"/>
      <c r="G20" s="2"/>
    </row>
    <row r="21" spans="2:20" ht="14.25" customHeight="1" x14ac:dyDescent="0.25">
      <c r="B21" s="2"/>
      <c r="C21" s="2"/>
      <c r="D21" s="2"/>
      <c r="E21" s="2"/>
      <c r="F21" s="2"/>
      <c r="G21" s="2"/>
    </row>
    <row r="22" spans="2:20" ht="14.25" customHeight="1" x14ac:dyDescent="0.25">
      <c r="B22" s="2"/>
      <c r="C22" s="2"/>
      <c r="D22" s="2"/>
      <c r="E22" s="2"/>
      <c r="F22" s="2"/>
      <c r="G22" s="2"/>
      <c r="T22" s="2"/>
    </row>
    <row r="23" spans="2:20" ht="14.25" customHeight="1" x14ac:dyDescent="0.25">
      <c r="B23" s="2"/>
      <c r="C23" s="2"/>
      <c r="D23" s="2"/>
      <c r="E23" s="2"/>
      <c r="F23" s="2"/>
      <c r="G23" s="2"/>
    </row>
    <row r="24" spans="2:20" ht="14.25" customHeight="1" x14ac:dyDescent="0.25">
      <c r="B24" s="2"/>
      <c r="C24" s="2"/>
      <c r="D24" s="2"/>
      <c r="E24" s="2"/>
      <c r="F24" s="2"/>
      <c r="G24" s="2"/>
    </row>
    <row r="25" spans="2:20" ht="14.25" customHeight="1" x14ac:dyDescent="0.25">
      <c r="B25" s="2"/>
      <c r="C25" s="2"/>
      <c r="D25" s="2"/>
      <c r="E25" s="2"/>
      <c r="F25" s="2"/>
      <c r="G25" s="2"/>
    </row>
    <row r="26" spans="2:20" ht="14.25" customHeight="1" x14ac:dyDescent="0.25">
      <c r="B26" s="2"/>
      <c r="C26" s="2"/>
      <c r="D26" s="2"/>
      <c r="E26" s="2"/>
      <c r="F26" s="2"/>
      <c r="G26" s="2"/>
    </row>
    <row r="27" spans="2:20" ht="14.25" customHeight="1" x14ac:dyDescent="0.25">
      <c r="B27" s="2"/>
      <c r="C27" s="2"/>
      <c r="D27" s="2"/>
      <c r="E27" s="2"/>
      <c r="F27" s="2"/>
      <c r="G27" s="2"/>
    </row>
    <row r="28" spans="2:20" ht="14.25" customHeight="1" x14ac:dyDescent="0.25">
      <c r="B28" s="2"/>
      <c r="C28" s="2"/>
      <c r="D28" s="2"/>
      <c r="E28" s="2"/>
      <c r="F28" s="2"/>
      <c r="G28" s="2"/>
    </row>
    <row r="29" spans="2:20" ht="14.25" customHeight="1" x14ac:dyDescent="0.25">
      <c r="B29" s="2"/>
      <c r="C29" s="2"/>
      <c r="D29" s="2"/>
      <c r="E29" s="2"/>
      <c r="F29" s="2"/>
      <c r="G29" s="2"/>
    </row>
    <row r="30" spans="2:20" ht="14.25" customHeight="1" x14ac:dyDescent="0.25">
      <c r="B30" s="2"/>
      <c r="C30" s="2"/>
      <c r="D30" s="2"/>
      <c r="E30" s="2"/>
      <c r="F30" s="2"/>
      <c r="G30" s="2"/>
    </row>
    <row r="31" spans="2:20" ht="14.25" customHeight="1" x14ac:dyDescent="0.25">
      <c r="B31" s="2"/>
      <c r="C31" s="2"/>
      <c r="D31" s="2"/>
      <c r="E31" s="2"/>
      <c r="F31" s="2"/>
      <c r="G31" s="2"/>
    </row>
    <row r="32" spans="2:20" ht="14.25" customHeight="1" x14ac:dyDescent="0.25">
      <c r="B32" s="2"/>
      <c r="C32" s="2"/>
      <c r="D32" s="2"/>
      <c r="E32" s="2"/>
      <c r="F32" s="2"/>
      <c r="G32" s="2"/>
    </row>
    <row r="33" spans="2:7" ht="14.25" customHeight="1" x14ac:dyDescent="0.25">
      <c r="B33" s="2"/>
      <c r="C33" s="2"/>
      <c r="D33" s="2"/>
      <c r="E33" s="2"/>
      <c r="F33" s="2"/>
      <c r="G33" s="2"/>
    </row>
    <row r="34" spans="2:7" ht="14.25" customHeight="1" x14ac:dyDescent="0.25">
      <c r="B34" s="2"/>
      <c r="C34" s="2"/>
      <c r="D34" s="2"/>
      <c r="E34" s="2"/>
      <c r="F34" s="2"/>
      <c r="G34" s="2"/>
    </row>
    <row r="35" spans="2:7" ht="14.25" customHeight="1" x14ac:dyDescent="0.25">
      <c r="B35" s="2"/>
      <c r="C35" s="2"/>
      <c r="D35" s="2"/>
      <c r="E35" s="2"/>
      <c r="F35" s="2"/>
      <c r="G35" s="2"/>
    </row>
    <row r="36" spans="2:7" ht="14.25" customHeight="1" x14ac:dyDescent="0.25">
      <c r="B36" s="2"/>
      <c r="C36" s="2"/>
      <c r="D36" s="2"/>
      <c r="E36" s="2"/>
      <c r="F36" s="2"/>
      <c r="G36" s="2"/>
    </row>
    <row r="37" spans="2:7" ht="14.25" customHeight="1" x14ac:dyDescent="0.25">
      <c r="B37" s="2"/>
      <c r="C37" s="2"/>
      <c r="D37" s="2"/>
      <c r="E37" s="2"/>
      <c r="F37" s="2"/>
      <c r="G37" s="2"/>
    </row>
    <row r="38" spans="2:7" ht="14.25" customHeight="1" x14ac:dyDescent="0.25">
      <c r="B38" s="2"/>
      <c r="C38" s="2"/>
      <c r="D38" s="2"/>
      <c r="E38" s="2"/>
      <c r="F38" s="2"/>
      <c r="G38" s="2"/>
    </row>
    <row r="39" spans="2:7" ht="14.25" customHeight="1" x14ac:dyDescent="0.25">
      <c r="B39" s="2"/>
      <c r="C39" s="2"/>
      <c r="D39" s="2"/>
      <c r="E39" s="2"/>
      <c r="F39" s="2"/>
      <c r="G39" s="2"/>
    </row>
    <row r="40" spans="2:7" ht="14.25" customHeight="1" x14ac:dyDescent="0.25">
      <c r="B40" s="2"/>
      <c r="C40" s="2"/>
      <c r="D40" s="2"/>
      <c r="E40" s="2"/>
      <c r="F40" s="2"/>
      <c r="G40" s="2"/>
    </row>
    <row r="41" spans="2:7" ht="14.25" customHeight="1" x14ac:dyDescent="0.25">
      <c r="B41" s="2"/>
      <c r="C41" s="2"/>
      <c r="D41" s="2"/>
      <c r="E41" s="2"/>
      <c r="F41" s="2"/>
      <c r="G41" s="2"/>
    </row>
    <row r="42" spans="2:7" ht="14.25" customHeight="1" x14ac:dyDescent="0.25">
      <c r="B42" s="2"/>
      <c r="C42" s="2"/>
      <c r="D42" s="2"/>
      <c r="E42" s="2"/>
      <c r="F42" s="2"/>
      <c r="G42" s="2"/>
    </row>
    <row r="43" spans="2:7" ht="14.25" customHeight="1" x14ac:dyDescent="0.25">
      <c r="B43" s="2"/>
      <c r="C43" s="2"/>
      <c r="D43" s="2"/>
      <c r="E43" s="2"/>
      <c r="F43" s="2"/>
      <c r="G43" s="2"/>
    </row>
    <row r="44" spans="2:7" ht="14.25" customHeight="1" x14ac:dyDescent="0.25">
      <c r="B44" s="2"/>
      <c r="C44" s="2"/>
      <c r="D44" s="2"/>
      <c r="E44" s="2"/>
      <c r="F44" s="2"/>
      <c r="G44" s="2"/>
    </row>
    <row r="45" spans="2:7" ht="14.25" customHeight="1" x14ac:dyDescent="0.25">
      <c r="B45" s="2"/>
      <c r="C45" s="2"/>
      <c r="D45" s="2"/>
      <c r="E45" s="2"/>
      <c r="F45" s="2"/>
      <c r="G45" s="2"/>
    </row>
    <row r="46" spans="2:7" ht="14.25" customHeight="1" x14ac:dyDescent="0.25">
      <c r="B46" s="2"/>
      <c r="C46" s="2"/>
      <c r="D46" s="2"/>
      <c r="E46" s="2"/>
      <c r="F46" s="2"/>
      <c r="G46" s="2"/>
    </row>
    <row r="47" spans="2:7" ht="14.25" customHeight="1" x14ac:dyDescent="0.25">
      <c r="B47" s="2"/>
      <c r="C47" s="2"/>
      <c r="D47" s="2"/>
      <c r="E47" s="2"/>
      <c r="F47" s="2"/>
      <c r="G47" s="2"/>
    </row>
    <row r="48" spans="2:7" ht="14.25" customHeight="1" x14ac:dyDescent="0.25">
      <c r="B48" s="2"/>
      <c r="C48" s="2"/>
      <c r="D48" s="2"/>
      <c r="E48" s="2"/>
      <c r="F48" s="2"/>
      <c r="G48" s="2"/>
    </row>
    <row r="49" spans="2:7" ht="14.25" customHeight="1" x14ac:dyDescent="0.25">
      <c r="B49" s="2"/>
      <c r="C49" s="2"/>
      <c r="D49" s="2"/>
      <c r="E49" s="2"/>
      <c r="F49" s="2"/>
      <c r="G49" s="2"/>
    </row>
    <row r="50" spans="2:7" ht="14.25" customHeight="1" x14ac:dyDescent="0.25">
      <c r="B50" s="2"/>
      <c r="C50" s="2"/>
      <c r="D50" s="2"/>
      <c r="E50" s="2"/>
      <c r="F50" s="2"/>
      <c r="G50" s="2"/>
    </row>
    <row r="51" spans="2:7" ht="14.25" customHeight="1" x14ac:dyDescent="0.25">
      <c r="B51" s="2"/>
      <c r="C51" s="2"/>
      <c r="D51" s="2"/>
      <c r="E51" s="2"/>
      <c r="F51" s="2"/>
      <c r="G51" s="2"/>
    </row>
    <row r="52" spans="2:7" ht="14.25" customHeight="1" x14ac:dyDescent="0.25">
      <c r="B52" s="2"/>
      <c r="C52" s="2"/>
      <c r="D52" s="2"/>
      <c r="E52" s="2"/>
      <c r="F52" s="2"/>
      <c r="G52" s="2"/>
    </row>
    <row r="53" spans="2:7" ht="14.25" customHeight="1" x14ac:dyDescent="0.25">
      <c r="B53" s="2"/>
      <c r="C53" s="2"/>
      <c r="D53" s="2"/>
      <c r="E53" s="2"/>
      <c r="F53" s="2"/>
      <c r="G53" s="2"/>
    </row>
    <row r="54" spans="2:7" ht="14.25" customHeight="1" x14ac:dyDescent="0.25">
      <c r="B54" s="2"/>
      <c r="C54" s="2"/>
      <c r="D54" s="2"/>
      <c r="E54" s="2"/>
      <c r="F54" s="2"/>
      <c r="G54" s="2"/>
    </row>
    <row r="55" spans="2:7" ht="14.25" customHeight="1" x14ac:dyDescent="0.25">
      <c r="B55" s="2"/>
      <c r="C55" s="2"/>
      <c r="D55" s="2"/>
      <c r="E55" s="2"/>
      <c r="F55" s="2"/>
      <c r="G55" s="2"/>
    </row>
    <row r="56" spans="2:7" ht="14.25" customHeight="1" x14ac:dyDescent="0.25">
      <c r="B56" s="2"/>
      <c r="C56" s="2"/>
      <c r="D56" s="2"/>
      <c r="E56" s="2"/>
      <c r="F56" s="2"/>
      <c r="G56" s="2"/>
    </row>
    <row r="57" spans="2:7" ht="14.25" customHeight="1" x14ac:dyDescent="0.25">
      <c r="B57" s="2"/>
      <c r="C57" s="2"/>
      <c r="D57" s="2"/>
      <c r="E57" s="2"/>
      <c r="F57" s="2"/>
      <c r="G57" s="2"/>
    </row>
    <row r="58" spans="2:7" ht="14.25" customHeight="1" x14ac:dyDescent="0.25">
      <c r="B58" s="2"/>
      <c r="C58" s="2"/>
      <c r="D58" s="2"/>
      <c r="E58" s="2"/>
      <c r="F58" s="2"/>
      <c r="G58" s="2"/>
    </row>
    <row r="59" spans="2:7" ht="14.25" customHeight="1" x14ac:dyDescent="0.25">
      <c r="B59" s="2"/>
      <c r="C59" s="2"/>
      <c r="D59" s="2"/>
      <c r="E59" s="2"/>
      <c r="F59" s="2"/>
      <c r="G59" s="2"/>
    </row>
    <row r="60" spans="2:7" ht="14.25" customHeight="1" x14ac:dyDescent="0.25">
      <c r="B60" s="2"/>
      <c r="C60" s="2"/>
      <c r="D60" s="2"/>
      <c r="E60" s="2"/>
      <c r="F60" s="2"/>
      <c r="G60" s="2"/>
    </row>
    <row r="61" spans="2:7" ht="14.25" customHeight="1" x14ac:dyDescent="0.25">
      <c r="B61" s="2"/>
      <c r="C61" s="2"/>
      <c r="D61" s="2"/>
      <c r="E61" s="2"/>
      <c r="F61" s="2"/>
      <c r="G61" s="2"/>
    </row>
    <row r="62" spans="2:7" ht="14.25" customHeight="1" x14ac:dyDescent="0.25">
      <c r="B62" s="2"/>
      <c r="C62" s="2"/>
      <c r="D62" s="2"/>
      <c r="E62" s="2"/>
      <c r="F62" s="2"/>
      <c r="G62" s="2"/>
    </row>
    <row r="63" spans="2:7" ht="14.25" customHeight="1" x14ac:dyDescent="0.25">
      <c r="B63" s="2"/>
      <c r="C63" s="2"/>
      <c r="D63" s="2"/>
      <c r="E63" s="2"/>
      <c r="F63" s="2"/>
      <c r="G63" s="2"/>
    </row>
    <row r="64" spans="2:7" ht="14.25" customHeight="1" x14ac:dyDescent="0.25">
      <c r="B64" s="2"/>
      <c r="C64" s="2"/>
      <c r="D64" s="2"/>
      <c r="E64" s="2"/>
      <c r="F64" s="2"/>
      <c r="G64" s="2"/>
    </row>
    <row r="65" spans="2:7" ht="14.25" customHeight="1" x14ac:dyDescent="0.25">
      <c r="B65" s="2"/>
      <c r="C65" s="2"/>
      <c r="D65" s="2"/>
      <c r="E65" s="2"/>
      <c r="F65" s="2"/>
      <c r="G65" s="2"/>
    </row>
    <row r="66" spans="2:7" ht="14.25" customHeight="1" x14ac:dyDescent="0.25">
      <c r="B66" s="2"/>
      <c r="C66" s="2"/>
      <c r="D66" s="2"/>
      <c r="E66" s="2"/>
      <c r="F66" s="2"/>
      <c r="G66" s="2"/>
    </row>
    <row r="67" spans="2:7" ht="14.25" customHeight="1" x14ac:dyDescent="0.25">
      <c r="B67" s="2"/>
      <c r="C67" s="2"/>
      <c r="D67" s="2"/>
      <c r="E67" s="2"/>
      <c r="F67" s="2"/>
      <c r="G67" s="2"/>
    </row>
    <row r="68" spans="2:7" ht="14.25" customHeight="1" x14ac:dyDescent="0.25">
      <c r="B68" s="2"/>
      <c r="C68" s="2"/>
      <c r="D68" s="2"/>
      <c r="E68" s="2"/>
      <c r="F68" s="2"/>
      <c r="G68" s="2"/>
    </row>
    <row r="69" spans="2:7" ht="14.25" customHeight="1" x14ac:dyDescent="0.25">
      <c r="B69" s="2"/>
      <c r="C69" s="2"/>
      <c r="D69" s="2"/>
      <c r="E69" s="2"/>
      <c r="F69" s="2"/>
      <c r="G69" s="2"/>
    </row>
    <row r="70" spans="2:7" ht="14.25" customHeight="1" x14ac:dyDescent="0.25">
      <c r="B70" s="2"/>
      <c r="C70" s="2"/>
      <c r="D70" s="2"/>
      <c r="E70" s="2"/>
      <c r="F70" s="2"/>
      <c r="G70" s="2"/>
    </row>
    <row r="71" spans="2:7" ht="14.25" customHeight="1" x14ac:dyDescent="0.25">
      <c r="B71" s="2"/>
      <c r="C71" s="2"/>
      <c r="D71" s="2"/>
      <c r="E71" s="2"/>
      <c r="F71" s="2"/>
      <c r="G71" s="2"/>
    </row>
    <row r="72" spans="2:7" ht="14.25" customHeight="1" x14ac:dyDescent="0.25">
      <c r="B72" s="2"/>
      <c r="C72" s="2"/>
      <c r="D72" s="2"/>
      <c r="E72" s="2"/>
      <c r="F72" s="2"/>
      <c r="G72" s="2"/>
    </row>
    <row r="73" spans="2:7" ht="14.25" customHeight="1" x14ac:dyDescent="0.25">
      <c r="B73" s="2"/>
      <c r="C73" s="2"/>
      <c r="D73" s="2"/>
      <c r="E73" s="2"/>
      <c r="F73" s="2"/>
      <c r="G73" s="2"/>
    </row>
    <row r="74" spans="2:7" ht="14.25" customHeight="1" x14ac:dyDescent="0.25">
      <c r="B74" s="2"/>
      <c r="C74" s="2"/>
      <c r="D74" s="2"/>
      <c r="E74" s="2"/>
      <c r="F74" s="2"/>
      <c r="G74" s="2"/>
    </row>
    <row r="75" spans="2:7" ht="14.25" customHeight="1" x14ac:dyDescent="0.25">
      <c r="B75" s="2"/>
      <c r="C75" s="2"/>
      <c r="D75" s="2"/>
      <c r="E75" s="2"/>
      <c r="F75" s="2"/>
      <c r="G75" s="2"/>
    </row>
    <row r="76" spans="2:7" ht="14.25" customHeight="1" x14ac:dyDescent="0.25">
      <c r="B76" s="2"/>
      <c r="C76" s="2"/>
      <c r="D76" s="2"/>
      <c r="E76" s="2"/>
      <c r="F76" s="2"/>
      <c r="G76" s="2"/>
    </row>
    <row r="77" spans="2:7" ht="14.25" customHeight="1" x14ac:dyDescent="0.25">
      <c r="B77" s="2"/>
      <c r="C77" s="2"/>
      <c r="D77" s="2"/>
      <c r="E77" s="2"/>
      <c r="F77" s="2"/>
      <c r="G77" s="2"/>
    </row>
    <row r="78" spans="2:7" ht="14.25" customHeight="1" x14ac:dyDescent="0.25">
      <c r="B78" s="2"/>
      <c r="C78" s="2"/>
      <c r="D78" s="2"/>
      <c r="E78" s="2"/>
      <c r="F78" s="2"/>
      <c r="G78" s="2"/>
    </row>
    <row r="79" spans="2:7" ht="14.25" customHeight="1" x14ac:dyDescent="0.25">
      <c r="B79" s="2"/>
      <c r="C79" s="2"/>
      <c r="D79" s="2"/>
      <c r="E79" s="2"/>
      <c r="F79" s="2"/>
      <c r="G79" s="2"/>
    </row>
    <row r="80" spans="2:7" ht="14.25" customHeight="1" x14ac:dyDescent="0.25">
      <c r="B80" s="2"/>
      <c r="C80" s="2"/>
      <c r="D80" s="2"/>
      <c r="E80" s="2"/>
      <c r="F80" s="2"/>
      <c r="G80" s="2"/>
    </row>
    <row r="81" spans="2:7" ht="14.25" customHeight="1" x14ac:dyDescent="0.25">
      <c r="B81" s="2"/>
      <c r="C81" s="2"/>
      <c r="D81" s="2"/>
      <c r="E81" s="2"/>
      <c r="F81" s="2"/>
      <c r="G81" s="2"/>
    </row>
    <row r="82" spans="2:7" ht="14.25" customHeight="1" x14ac:dyDescent="0.25">
      <c r="B82" s="2"/>
      <c r="C82" s="2"/>
      <c r="D82" s="2"/>
      <c r="E82" s="2"/>
      <c r="F82" s="2"/>
      <c r="G82" s="2"/>
    </row>
    <row r="83" spans="2:7" ht="14.25" customHeight="1" x14ac:dyDescent="0.25">
      <c r="B83" s="2"/>
      <c r="C83" s="2"/>
      <c r="D83" s="2"/>
      <c r="E83" s="2"/>
      <c r="F83" s="2"/>
      <c r="G83" s="2"/>
    </row>
    <row r="84" spans="2:7" ht="14.25" customHeight="1" x14ac:dyDescent="0.25">
      <c r="B84" s="2"/>
      <c r="C84" s="2"/>
      <c r="D84" s="2"/>
      <c r="E84" s="2"/>
      <c r="F84" s="2"/>
      <c r="G84" s="2"/>
    </row>
    <row r="85" spans="2:7" ht="14.25" customHeight="1" x14ac:dyDescent="0.25">
      <c r="B85" s="2"/>
      <c r="C85" s="2"/>
      <c r="D85" s="2"/>
      <c r="E85" s="2"/>
      <c r="F85" s="2"/>
      <c r="G85" s="2"/>
    </row>
    <row r="86" spans="2:7" ht="14.25" customHeight="1" x14ac:dyDescent="0.25">
      <c r="B86" s="2"/>
      <c r="C86" s="2"/>
      <c r="D86" s="2"/>
      <c r="E86" s="2"/>
      <c r="F86" s="2"/>
      <c r="G86" s="2"/>
    </row>
    <row r="87" spans="2:7" ht="14.25" customHeight="1" x14ac:dyDescent="0.25">
      <c r="B87" s="2"/>
      <c r="C87" s="2"/>
      <c r="D87" s="2"/>
      <c r="E87" s="2"/>
      <c r="F87" s="2"/>
      <c r="G87" s="2"/>
    </row>
    <row r="88" spans="2:7" ht="14.25" customHeight="1" x14ac:dyDescent="0.25">
      <c r="B88" s="2"/>
      <c r="C88" s="2"/>
      <c r="D88" s="2"/>
      <c r="E88" s="2"/>
      <c r="F88" s="2"/>
      <c r="G88" s="2"/>
    </row>
    <row r="89" spans="2:7" ht="14.25" customHeight="1" x14ac:dyDescent="0.25">
      <c r="B89" s="2"/>
      <c r="C89" s="2"/>
      <c r="D89" s="2"/>
      <c r="E89" s="2"/>
      <c r="F89" s="2"/>
      <c r="G89" s="2"/>
    </row>
    <row r="90" spans="2:7" ht="14.25" customHeight="1" x14ac:dyDescent="0.25">
      <c r="B90" s="2"/>
      <c r="C90" s="2"/>
      <c r="D90" s="2"/>
      <c r="E90" s="2"/>
      <c r="F90" s="2"/>
      <c r="G90" s="2"/>
    </row>
    <row r="91" spans="2:7" ht="14.25" customHeight="1" x14ac:dyDescent="0.25">
      <c r="B91" s="2"/>
      <c r="C91" s="2"/>
      <c r="D91" s="2"/>
      <c r="E91" s="2"/>
      <c r="F91" s="2"/>
      <c r="G91" s="2"/>
    </row>
    <row r="92" spans="2:7" ht="14.25" customHeight="1" x14ac:dyDescent="0.25">
      <c r="B92" s="2"/>
      <c r="C92" s="2"/>
      <c r="D92" s="2"/>
      <c r="E92" s="2"/>
      <c r="F92" s="2"/>
      <c r="G92" s="2"/>
    </row>
    <row r="93" spans="2:7" ht="14.25" customHeight="1" x14ac:dyDescent="0.25">
      <c r="B93" s="2"/>
      <c r="C93" s="2"/>
      <c r="D93" s="2"/>
      <c r="E93" s="2"/>
      <c r="F93" s="2"/>
      <c r="G93" s="2"/>
    </row>
    <row r="94" spans="2:7" ht="14.25" customHeight="1" x14ac:dyDescent="0.25">
      <c r="B94" s="2"/>
      <c r="C94" s="2"/>
      <c r="D94" s="2"/>
      <c r="E94" s="2"/>
      <c r="F94" s="2"/>
      <c r="G94" s="2"/>
    </row>
    <row r="95" spans="2:7" ht="14.25" customHeight="1" x14ac:dyDescent="0.25">
      <c r="B95" s="2"/>
      <c r="C95" s="2"/>
      <c r="D95" s="2"/>
      <c r="E95" s="2"/>
      <c r="F95" s="2"/>
      <c r="G95" s="2"/>
    </row>
    <row r="96" spans="2:7" ht="14.25" customHeight="1" x14ac:dyDescent="0.25">
      <c r="B96" s="2"/>
      <c r="C96" s="2"/>
      <c r="D96" s="2"/>
      <c r="E96" s="2"/>
      <c r="F96" s="2"/>
      <c r="G96" s="2"/>
    </row>
    <row r="97" spans="2:7" ht="14.25" customHeight="1" x14ac:dyDescent="0.25">
      <c r="B97" s="2"/>
      <c r="C97" s="2"/>
      <c r="D97" s="2"/>
      <c r="E97" s="2"/>
      <c r="F97" s="2"/>
      <c r="G97" s="2"/>
    </row>
    <row r="98" spans="2:7" ht="14.25" customHeight="1" x14ac:dyDescent="0.25">
      <c r="B98" s="2"/>
      <c r="C98" s="2"/>
      <c r="D98" s="2"/>
      <c r="E98" s="2"/>
      <c r="F98" s="2"/>
      <c r="G98" s="2"/>
    </row>
    <row r="99" spans="2:7" ht="14.25" customHeight="1" x14ac:dyDescent="0.25">
      <c r="B99" s="2"/>
      <c r="C99" s="2"/>
      <c r="D99" s="2"/>
      <c r="E99" s="2"/>
      <c r="F99" s="2"/>
      <c r="G99" s="2"/>
    </row>
    <row r="100" spans="2:7" ht="14.25" customHeight="1" x14ac:dyDescent="0.25">
      <c r="B100" s="2"/>
      <c r="C100" s="2"/>
      <c r="D100" s="2"/>
      <c r="E100" s="2"/>
      <c r="F100" s="2"/>
      <c r="G100" s="2"/>
    </row>
    <row r="101" spans="2:7" ht="14.25" customHeight="1" x14ac:dyDescent="0.25">
      <c r="B101" s="2"/>
      <c r="C101" s="2"/>
      <c r="D101" s="2"/>
      <c r="E101" s="2"/>
      <c r="F101" s="2"/>
      <c r="G101" s="2"/>
    </row>
    <row r="102" spans="2:7" ht="14.25" customHeight="1" x14ac:dyDescent="0.25">
      <c r="B102" s="2"/>
      <c r="C102" s="2"/>
      <c r="D102" s="2"/>
      <c r="E102" s="2"/>
      <c r="F102" s="2"/>
      <c r="G102" s="2"/>
    </row>
    <row r="103" spans="2:7" ht="14.25" customHeight="1" x14ac:dyDescent="0.25">
      <c r="B103" s="2"/>
      <c r="C103" s="2"/>
      <c r="D103" s="2"/>
      <c r="E103" s="2"/>
      <c r="F103" s="2"/>
      <c r="G103" s="2"/>
    </row>
    <row r="104" spans="2:7" ht="14.25" customHeight="1" x14ac:dyDescent="0.25"/>
    <row r="105" spans="2:7" ht="18.75" customHeight="1" x14ac:dyDescent="0.25">
      <c r="B105" s="2"/>
      <c r="C105" s="2"/>
      <c r="D105" s="2"/>
      <c r="E105" s="2"/>
      <c r="F105" s="2"/>
      <c r="G105" s="2"/>
    </row>
    <row r="106" spans="2:7" ht="19.5" customHeight="1" x14ac:dyDescent="0.25">
      <c r="B106" s="2"/>
      <c r="C106" s="2"/>
      <c r="D106" s="2"/>
      <c r="E106" s="2"/>
      <c r="F106" s="2"/>
      <c r="G106" s="2"/>
    </row>
    <row r="107" spans="2:7" x14ac:dyDescent="0.25">
      <c r="B107" s="2"/>
      <c r="C107" s="2"/>
      <c r="D107" s="2"/>
      <c r="E107" s="2"/>
      <c r="F107" s="2"/>
      <c r="G107" s="2"/>
    </row>
    <row r="108" spans="2:7" x14ac:dyDescent="0.25">
      <c r="B108" s="2"/>
      <c r="C108" s="2"/>
      <c r="D108" s="2"/>
      <c r="E108" s="2"/>
      <c r="F108" s="2"/>
      <c r="G108" s="2"/>
    </row>
    <row r="109" spans="2:7" x14ac:dyDescent="0.25">
      <c r="B109" s="2"/>
      <c r="C109" s="2"/>
      <c r="D109" s="2"/>
      <c r="E109" s="2"/>
      <c r="F109" s="2"/>
      <c r="G109" s="2"/>
    </row>
    <row r="110" spans="2:7" x14ac:dyDescent="0.25">
      <c r="B110" s="2"/>
      <c r="C110" s="2"/>
      <c r="D110" s="2"/>
      <c r="E110" s="2"/>
      <c r="F110" s="2"/>
      <c r="G110" s="2"/>
    </row>
    <row r="111" spans="2:7" x14ac:dyDescent="0.25">
      <c r="B111" s="2"/>
      <c r="C111" s="2"/>
      <c r="D111" s="2"/>
      <c r="E111" s="2"/>
      <c r="F111" s="2"/>
      <c r="G111" s="2"/>
    </row>
    <row r="112" spans="2:7" x14ac:dyDescent="0.25">
      <c r="B112" s="2"/>
      <c r="C112" s="2"/>
      <c r="D112" s="2"/>
      <c r="E112" s="2"/>
      <c r="F112" s="2"/>
      <c r="G112" s="2"/>
    </row>
    <row r="113" spans="2:7" x14ac:dyDescent="0.25">
      <c r="B113" s="2"/>
      <c r="C113" s="2"/>
      <c r="D113" s="2"/>
      <c r="E113" s="2"/>
      <c r="F113" s="2"/>
      <c r="G113" s="2"/>
    </row>
    <row r="114" spans="2:7" x14ac:dyDescent="0.25">
      <c r="B114" s="2"/>
      <c r="C114" s="2"/>
      <c r="D114" s="2"/>
      <c r="E114" s="2"/>
      <c r="F114" s="2"/>
      <c r="G114" s="2"/>
    </row>
    <row r="115" spans="2:7" x14ac:dyDescent="0.25">
      <c r="B115" s="2"/>
    </row>
    <row r="116" spans="2:7" x14ac:dyDescent="0.25">
      <c r="B116" s="2"/>
      <c r="D116" s="2"/>
      <c r="E116" s="2"/>
      <c r="F116" s="2"/>
      <c r="G116" s="2"/>
    </row>
    <row r="117" spans="2:7" x14ac:dyDescent="0.25">
      <c r="B117" s="2"/>
      <c r="C117" s="2"/>
      <c r="D117" s="2"/>
      <c r="E117" s="2"/>
      <c r="F117" s="2"/>
      <c r="G117" s="2"/>
    </row>
    <row r="118" spans="2:7" x14ac:dyDescent="0.25">
      <c r="D118" s="2"/>
      <c r="E118" s="2"/>
      <c r="F118" s="2"/>
      <c r="G118" s="2"/>
    </row>
    <row r="119" spans="2:7" x14ac:dyDescent="0.25">
      <c r="D119" s="2"/>
      <c r="E119" s="2"/>
      <c r="F119" s="2"/>
      <c r="G119" s="2"/>
    </row>
    <row r="120" spans="2:7" x14ac:dyDescent="0.25">
      <c r="D120" s="2"/>
      <c r="E120" s="2"/>
      <c r="F120" s="2"/>
      <c r="G120" s="2"/>
    </row>
    <row r="121" spans="2:7" x14ac:dyDescent="0.25">
      <c r="B121" s="2"/>
      <c r="C121" s="2"/>
      <c r="D121" s="2"/>
      <c r="E121" s="2"/>
      <c r="F121" s="2"/>
      <c r="G121" s="2"/>
    </row>
    <row r="122" spans="2:7" x14ac:dyDescent="0.25">
      <c r="B122" s="2"/>
      <c r="C122" s="2"/>
      <c r="D122" s="2"/>
      <c r="E122" s="2"/>
      <c r="F122" s="2"/>
      <c r="G122" s="2"/>
    </row>
    <row r="123" spans="2:7" x14ac:dyDescent="0.25">
      <c r="B123" s="2"/>
      <c r="C123" s="2"/>
      <c r="D123" s="2"/>
      <c r="E123" s="2"/>
      <c r="F123" s="2"/>
      <c r="G123" s="2"/>
    </row>
    <row r="124" spans="2:7" x14ac:dyDescent="0.25">
      <c r="B124" s="2"/>
      <c r="C124" s="2"/>
      <c r="D124" s="2"/>
      <c r="E124" s="2"/>
      <c r="F124" s="2"/>
      <c r="G124" s="2"/>
    </row>
    <row r="125" spans="2:7" x14ac:dyDescent="0.25">
      <c r="B125" s="2"/>
      <c r="C125" s="2"/>
      <c r="D125" s="2"/>
      <c r="E125" s="2"/>
      <c r="F125" s="2"/>
      <c r="G125" s="2"/>
    </row>
    <row r="126" spans="2:7" x14ac:dyDescent="0.25">
      <c r="B126" s="2"/>
      <c r="C126" s="2"/>
      <c r="D126" s="2"/>
      <c r="E126" s="2"/>
      <c r="F126" s="2"/>
      <c r="G126" s="2"/>
    </row>
    <row r="127" spans="2:7" x14ac:dyDescent="0.25">
      <c r="B127" s="2"/>
      <c r="C127" s="2"/>
      <c r="D127" s="2"/>
      <c r="E127" s="2"/>
      <c r="F127" s="2"/>
      <c r="G127" s="2"/>
    </row>
    <row r="128" spans="2:7" x14ac:dyDescent="0.25">
      <c r="B128" s="2"/>
      <c r="C128" s="2"/>
      <c r="D128" s="2"/>
      <c r="E128" s="2"/>
      <c r="F128" s="2"/>
      <c r="G128" s="2"/>
    </row>
    <row r="129" spans="2:7" x14ac:dyDescent="0.25">
      <c r="B129" s="2"/>
      <c r="C129" s="2"/>
      <c r="D129" s="2"/>
      <c r="E129" s="2"/>
      <c r="F129" s="2"/>
      <c r="G129" s="2"/>
    </row>
    <row r="130" spans="2:7" x14ac:dyDescent="0.25">
      <c r="B130" s="2"/>
      <c r="C130" s="2"/>
      <c r="D130" s="2"/>
      <c r="E130" s="2"/>
      <c r="F130" s="2"/>
      <c r="G130" s="2"/>
    </row>
    <row r="131" spans="2:7" x14ac:dyDescent="0.25">
      <c r="B131" s="2"/>
      <c r="C131" s="2"/>
      <c r="D131" s="2"/>
      <c r="E131" s="2"/>
      <c r="F131" s="2"/>
      <c r="G131" s="2"/>
    </row>
    <row r="132" spans="2:7" x14ac:dyDescent="0.25">
      <c r="B132" s="2"/>
      <c r="C132" s="2"/>
      <c r="D132" s="2"/>
      <c r="E132" s="2"/>
      <c r="F132" s="2"/>
      <c r="G132" s="2"/>
    </row>
    <row r="133" spans="2:7" x14ac:dyDescent="0.25">
      <c r="B133" s="2"/>
      <c r="C133" s="2"/>
      <c r="D133" s="2"/>
      <c r="E133" s="2"/>
      <c r="F133" s="2"/>
      <c r="G133" s="2"/>
    </row>
    <row r="134" spans="2:7" x14ac:dyDescent="0.25">
      <c r="B134" s="2"/>
      <c r="C134" s="2"/>
      <c r="D134" s="2"/>
      <c r="E134" s="2"/>
      <c r="F134" s="2"/>
      <c r="G134" s="2"/>
    </row>
    <row r="135" spans="2:7" x14ac:dyDescent="0.25">
      <c r="B135" s="2"/>
      <c r="C135" s="2"/>
      <c r="D135" s="2"/>
      <c r="E135" s="2"/>
      <c r="F135" s="2"/>
      <c r="G135" s="2"/>
    </row>
    <row r="136" spans="2:7" x14ac:dyDescent="0.25">
      <c r="B136" s="2"/>
      <c r="C136" s="2"/>
      <c r="D136" s="2"/>
      <c r="E136" s="2"/>
      <c r="F136" s="2"/>
      <c r="G136" s="2"/>
    </row>
    <row r="137" spans="2:7" x14ac:dyDescent="0.25">
      <c r="B137" s="2"/>
      <c r="C137" s="2"/>
      <c r="D137" s="2"/>
      <c r="E137" s="2"/>
      <c r="F137" s="2"/>
      <c r="G137" s="2"/>
    </row>
    <row r="138" spans="2:7" x14ac:dyDescent="0.25">
      <c r="B138" s="2"/>
      <c r="C138" s="2"/>
      <c r="D138" s="2"/>
      <c r="E138" s="2"/>
      <c r="F138" s="2"/>
      <c r="G138" s="2"/>
    </row>
    <row r="139" spans="2:7" x14ac:dyDescent="0.25">
      <c r="B139" s="2"/>
      <c r="C139" s="2"/>
      <c r="D139" s="2"/>
      <c r="E139" s="2"/>
      <c r="F139" s="2"/>
      <c r="G139" s="2"/>
    </row>
    <row r="140" spans="2:7" x14ac:dyDescent="0.25">
      <c r="B140" s="2"/>
      <c r="C140" s="2"/>
      <c r="D140" s="2"/>
      <c r="E140" s="2"/>
      <c r="F140" s="2"/>
      <c r="G140" s="2"/>
    </row>
    <row r="141" spans="2:7" x14ac:dyDescent="0.25">
      <c r="B141" s="2"/>
      <c r="C141" s="2"/>
      <c r="D141" s="2"/>
      <c r="E141" s="2"/>
      <c r="F141" s="2"/>
      <c r="G141" s="2"/>
    </row>
    <row r="142" spans="2:7" x14ac:dyDescent="0.25">
      <c r="B142" s="2"/>
      <c r="C142" s="2"/>
      <c r="D142" s="2"/>
      <c r="E142" s="2"/>
      <c r="F142" s="2"/>
      <c r="G142" s="2"/>
    </row>
    <row r="143" spans="2:7" x14ac:dyDescent="0.25">
      <c r="B143" s="2"/>
      <c r="C143" s="2"/>
      <c r="D143" s="2"/>
      <c r="E143" s="2"/>
      <c r="F143" s="2"/>
      <c r="G143" s="2"/>
    </row>
    <row r="144" spans="2:7" x14ac:dyDescent="0.25">
      <c r="B144" s="2"/>
      <c r="C144" s="2"/>
      <c r="D144" s="2"/>
      <c r="E144" s="2"/>
      <c r="F144" s="2"/>
      <c r="G144" s="2"/>
    </row>
    <row r="145" spans="2:7" x14ac:dyDescent="0.25">
      <c r="B145" s="2"/>
      <c r="C145" s="2"/>
      <c r="D145" s="2"/>
      <c r="E145" s="2"/>
      <c r="F145" s="2"/>
      <c r="G145" s="2"/>
    </row>
    <row r="146" spans="2:7" x14ac:dyDescent="0.25">
      <c r="B146" s="2"/>
      <c r="C146" s="2"/>
      <c r="D146" s="2"/>
      <c r="E146" s="2"/>
      <c r="F146" s="2"/>
      <c r="G146" s="2"/>
    </row>
    <row r="147" spans="2:7" x14ac:dyDescent="0.25">
      <c r="B147" s="2"/>
      <c r="C147" s="2"/>
      <c r="D147" s="2"/>
      <c r="E147" s="2"/>
      <c r="F147" s="2"/>
      <c r="G147" s="2"/>
    </row>
    <row r="148" spans="2:7" x14ac:dyDescent="0.25">
      <c r="B148" s="2"/>
      <c r="C148" s="2"/>
      <c r="D148" s="2"/>
      <c r="E148" s="2"/>
      <c r="F148" s="2"/>
      <c r="G148" s="2"/>
    </row>
    <row r="149" spans="2:7" x14ac:dyDescent="0.25">
      <c r="B149" s="2"/>
      <c r="C149" s="2"/>
      <c r="D149" s="2"/>
      <c r="E149" s="2"/>
      <c r="F149" s="2"/>
      <c r="G149" s="2"/>
    </row>
    <row r="150" spans="2:7" x14ac:dyDescent="0.25">
      <c r="B150" s="2"/>
      <c r="C150" s="2"/>
      <c r="D150" s="2"/>
      <c r="E150" s="2"/>
      <c r="F150" s="2"/>
      <c r="G150" s="2"/>
    </row>
    <row r="151" spans="2:7" x14ac:dyDescent="0.25">
      <c r="B151" s="2"/>
      <c r="C151" s="2"/>
      <c r="D151" s="2"/>
      <c r="E151" s="2"/>
      <c r="F151" s="2"/>
      <c r="G151" s="2"/>
    </row>
    <row r="152" spans="2:7" x14ac:dyDescent="0.25">
      <c r="B152" s="2"/>
      <c r="C152" s="2"/>
      <c r="D152" s="2"/>
      <c r="E152" s="2"/>
      <c r="F152" s="2"/>
      <c r="G152" s="2"/>
    </row>
    <row r="153" spans="2:7" x14ac:dyDescent="0.25">
      <c r="B153" s="2"/>
      <c r="C153" s="2"/>
      <c r="D153" s="2"/>
      <c r="E153" s="2"/>
      <c r="F153" s="2"/>
      <c r="G153" s="2"/>
    </row>
    <row r="154" spans="2:7" x14ac:dyDescent="0.25">
      <c r="B154" s="2"/>
      <c r="C154" s="2"/>
      <c r="D154" s="2"/>
      <c r="E154" s="2"/>
      <c r="F154" s="2"/>
      <c r="G154" s="2"/>
    </row>
    <row r="155" spans="2:7" x14ac:dyDescent="0.25">
      <c r="B155" s="2"/>
      <c r="C155" s="2"/>
      <c r="D155" s="2"/>
      <c r="E155" s="2"/>
      <c r="F155" s="2"/>
      <c r="G155" s="2"/>
    </row>
    <row r="156" spans="2:7" x14ac:dyDescent="0.25">
      <c r="B156" s="2"/>
      <c r="C156" s="2"/>
      <c r="D156" s="2"/>
      <c r="E156" s="2"/>
      <c r="F156" s="2"/>
      <c r="G156" s="2"/>
    </row>
    <row r="157" spans="2:7" x14ac:dyDescent="0.25">
      <c r="B157" s="2"/>
      <c r="C157" s="2"/>
      <c r="D157" s="2"/>
      <c r="E157" s="2"/>
      <c r="F157" s="2"/>
      <c r="G157" s="2"/>
    </row>
    <row r="158" spans="2:7" x14ac:dyDescent="0.25">
      <c r="B158" s="2"/>
      <c r="C158" s="2"/>
      <c r="D158" s="2"/>
      <c r="E158" s="2"/>
      <c r="F158" s="2"/>
      <c r="G158" s="2"/>
    </row>
    <row r="159" spans="2:7" x14ac:dyDescent="0.25">
      <c r="B159" s="2"/>
      <c r="C159" s="2"/>
      <c r="D159" s="2"/>
      <c r="E159" s="2"/>
      <c r="F159" s="2"/>
      <c r="G159" s="2"/>
    </row>
    <row r="160" spans="2:7" x14ac:dyDescent="0.25">
      <c r="B160" s="2"/>
      <c r="C160" s="2"/>
      <c r="D160" s="2"/>
      <c r="E160" s="2"/>
      <c r="F160" s="2"/>
      <c r="G160" s="2"/>
    </row>
    <row r="161" spans="2:7" x14ac:dyDescent="0.25">
      <c r="B161" s="2"/>
      <c r="C161" s="2"/>
      <c r="D161" s="2"/>
      <c r="E161" s="2"/>
      <c r="F161" s="2"/>
      <c r="G161" s="2"/>
    </row>
    <row r="162" spans="2:7" x14ac:dyDescent="0.25">
      <c r="B162" s="2"/>
      <c r="C162" s="2"/>
      <c r="D162" s="2"/>
      <c r="E162" s="2"/>
      <c r="F162" s="2"/>
      <c r="G162" s="2"/>
    </row>
    <row r="163" spans="2:7" x14ac:dyDescent="0.25">
      <c r="B163" s="2"/>
      <c r="C163" s="3"/>
      <c r="D163" s="2"/>
      <c r="E163" s="2"/>
      <c r="F163" s="2"/>
      <c r="G163" s="2"/>
    </row>
    <row r="164" spans="2:7" x14ac:dyDescent="0.25">
      <c r="B164" s="2"/>
      <c r="C164" s="2"/>
      <c r="D164" s="2"/>
      <c r="E164" s="2"/>
      <c r="F164" s="2"/>
      <c r="G164" s="2"/>
    </row>
    <row r="165" spans="2:7" x14ac:dyDescent="0.25">
      <c r="B165" s="2"/>
      <c r="C165" s="2"/>
      <c r="D165" s="2"/>
      <c r="E165" s="2"/>
      <c r="F165" s="2"/>
      <c r="G165" s="2"/>
    </row>
    <row r="166" spans="2:7" x14ac:dyDescent="0.25">
      <c r="B166" s="2"/>
      <c r="C166" s="2"/>
      <c r="D166" s="2"/>
      <c r="E166" s="2"/>
      <c r="F166" s="2"/>
      <c r="G166" s="2"/>
    </row>
    <row r="167" spans="2:7" x14ac:dyDescent="0.25">
      <c r="B167" s="2"/>
      <c r="C167" s="2"/>
      <c r="D167" s="2"/>
      <c r="E167" s="2"/>
      <c r="F167" s="2"/>
      <c r="G167" s="2"/>
    </row>
    <row r="168" spans="2:7" x14ac:dyDescent="0.25">
      <c r="B168" s="2"/>
      <c r="C168" s="2"/>
      <c r="D168" s="2"/>
      <c r="E168" s="2"/>
      <c r="F168" s="2"/>
      <c r="G168" s="2"/>
    </row>
    <row r="169" spans="2:7" x14ac:dyDescent="0.25">
      <c r="B169" s="2"/>
      <c r="C169" s="2"/>
      <c r="D169" s="2"/>
      <c r="E169" s="2"/>
      <c r="F169" s="2"/>
      <c r="G169" s="2"/>
    </row>
    <row r="170" spans="2:7" x14ac:dyDescent="0.25">
      <c r="B170" s="2"/>
      <c r="C170" s="2"/>
      <c r="D170" s="2"/>
      <c r="E170" s="2"/>
      <c r="F170" s="2"/>
      <c r="G170" s="2"/>
    </row>
    <row r="171" spans="2:7" x14ac:dyDescent="0.25">
      <c r="B171" s="2"/>
      <c r="C171" s="2"/>
      <c r="D171" s="2"/>
      <c r="E171" s="2"/>
      <c r="F171" s="2"/>
      <c r="G171" s="2"/>
    </row>
    <row r="172" spans="2:7" x14ac:dyDescent="0.25">
      <c r="B172" s="2"/>
      <c r="C172" s="2"/>
      <c r="D172" s="2"/>
      <c r="E172" s="2"/>
      <c r="F172" s="2"/>
      <c r="G172" s="2"/>
    </row>
    <row r="173" spans="2:7" x14ac:dyDescent="0.25">
      <c r="B173" s="2"/>
      <c r="C173" s="2"/>
      <c r="D173" s="2"/>
      <c r="E173" s="2"/>
      <c r="F173" s="2"/>
      <c r="G173" s="2"/>
    </row>
    <row r="174" spans="2:7" x14ac:dyDescent="0.25">
      <c r="B174" s="2"/>
      <c r="C174" s="2"/>
      <c r="D174" s="2"/>
      <c r="E174" s="2"/>
      <c r="F174" s="2"/>
      <c r="G174" s="2"/>
    </row>
    <row r="175" spans="2:7" x14ac:dyDescent="0.25">
      <c r="B175" s="2"/>
      <c r="C175" s="2"/>
      <c r="D175" s="2"/>
      <c r="E175" s="2"/>
      <c r="F175" s="2"/>
      <c r="G175" s="2"/>
    </row>
    <row r="176" spans="2:7" x14ac:dyDescent="0.25">
      <c r="B176" s="2"/>
      <c r="C176" s="2"/>
      <c r="D176" s="2"/>
      <c r="E176" s="2"/>
      <c r="F176" s="2"/>
      <c r="G176" s="2"/>
    </row>
    <row r="177" spans="2:7" x14ac:dyDescent="0.25">
      <c r="B177" s="2"/>
      <c r="C177" s="2"/>
      <c r="D177" s="2"/>
      <c r="E177" s="2"/>
      <c r="F177" s="2"/>
      <c r="G177" s="2"/>
    </row>
    <row r="178" spans="2:7" x14ac:dyDescent="0.25">
      <c r="B178" s="2"/>
      <c r="C178" s="2"/>
      <c r="D178" s="2"/>
      <c r="E178" s="2"/>
      <c r="F178" s="2"/>
      <c r="G178" s="2"/>
    </row>
    <row r="179" spans="2:7" ht="15" customHeight="1" x14ac:dyDescent="0.25">
      <c r="B179" s="2"/>
      <c r="C179" s="2"/>
      <c r="D179" s="2"/>
      <c r="E179" s="2"/>
      <c r="F179" s="2"/>
      <c r="G179" s="2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X22"/>
  <sheetViews>
    <sheetView topLeftCell="I1" workbookViewId="0">
      <selection activeCell="S8" sqref="S8"/>
    </sheetView>
  </sheetViews>
  <sheetFormatPr baseColWidth="10" defaultRowHeight="15" x14ac:dyDescent="0.25"/>
  <sheetData>
    <row r="1" spans="2:24" ht="78" customHeight="1" x14ac:dyDescent="0.25"/>
    <row r="2" spans="2:24" x14ac:dyDescent="0.25"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Q2" s="2" t="s">
        <v>2</v>
      </c>
      <c r="R2" s="2" t="s">
        <v>3</v>
      </c>
      <c r="S2" s="2" t="s">
        <v>4</v>
      </c>
      <c r="T2" s="2" t="s">
        <v>5</v>
      </c>
      <c r="U2" s="2" t="s">
        <v>6</v>
      </c>
      <c r="W2" s="2" t="s">
        <v>19</v>
      </c>
    </row>
    <row r="3" spans="2:24" x14ac:dyDescent="0.25">
      <c r="J3" s="2">
        <f>SUM(C:C)*120000</f>
        <v>360000</v>
      </c>
      <c r="K3" s="2">
        <f>SUM(D:D)*250000</f>
        <v>2250000</v>
      </c>
      <c r="L3" s="2">
        <f>SUM(E:E)*350000</f>
        <v>1750000</v>
      </c>
      <c r="M3" s="2">
        <f>SUM(F:F)*30000</f>
        <v>360000</v>
      </c>
      <c r="N3" s="2">
        <f>SUM(G:G)*70000</f>
        <v>770000</v>
      </c>
      <c r="P3" s="2" t="s">
        <v>15</v>
      </c>
      <c r="Q3" s="2">
        <f>SUM(C:C)</f>
        <v>3</v>
      </c>
      <c r="R3" s="2">
        <f>SUM(D:D)</f>
        <v>9</v>
      </c>
      <c r="S3" s="2">
        <f>SUM(E:E)</f>
        <v>5</v>
      </c>
      <c r="T3" s="2">
        <f>SUM(F:F)</f>
        <v>12</v>
      </c>
      <c r="U3" s="2">
        <f>SUM(G:G)</f>
        <v>11</v>
      </c>
      <c r="W3" s="2">
        <f>SUM(J3,K3,L3,M3,N3)</f>
        <v>5490000</v>
      </c>
      <c r="X3" s="2" t="s">
        <v>35</v>
      </c>
    </row>
    <row r="4" spans="2:24" x14ac:dyDescent="0.25">
      <c r="B4" s="2" t="s">
        <v>12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</row>
    <row r="5" spans="2:24" x14ac:dyDescent="0.25">
      <c r="B5" s="2" t="s">
        <v>35</v>
      </c>
      <c r="C5" s="2">
        <v>3</v>
      </c>
      <c r="D5" s="2">
        <v>9</v>
      </c>
      <c r="E5" s="2">
        <v>5</v>
      </c>
      <c r="F5" s="2">
        <v>12</v>
      </c>
      <c r="G5" s="2">
        <v>11</v>
      </c>
    </row>
    <row r="6" spans="2:24" x14ac:dyDescent="0.25">
      <c r="B6" s="2"/>
      <c r="C6" s="2"/>
      <c r="D6" s="2"/>
      <c r="E6" s="2"/>
      <c r="F6" s="2"/>
      <c r="G6" s="2"/>
    </row>
    <row r="7" spans="2:24" x14ac:dyDescent="0.25">
      <c r="B7" s="2"/>
      <c r="C7" s="2"/>
      <c r="D7" s="2"/>
      <c r="E7" s="2"/>
      <c r="F7" s="2"/>
      <c r="G7" s="2"/>
    </row>
    <row r="8" spans="2:24" x14ac:dyDescent="0.25">
      <c r="B8" s="2"/>
      <c r="C8" s="2"/>
      <c r="D8" s="2"/>
      <c r="E8" s="2"/>
      <c r="F8" s="2"/>
      <c r="G8" s="2"/>
    </row>
    <row r="9" spans="2:24" x14ac:dyDescent="0.25">
      <c r="B9" s="2"/>
      <c r="C9" s="2"/>
      <c r="D9" s="2"/>
      <c r="E9" s="2"/>
      <c r="F9" s="2"/>
      <c r="G9" s="2"/>
    </row>
    <row r="10" spans="2:24" x14ac:dyDescent="0.25">
      <c r="B10" s="2"/>
      <c r="C10" s="2"/>
      <c r="D10" s="2"/>
      <c r="E10" s="2"/>
      <c r="F10" s="2"/>
      <c r="G10" s="2"/>
    </row>
    <row r="11" spans="2:24" x14ac:dyDescent="0.25">
      <c r="B11" s="2"/>
      <c r="C11" s="2"/>
      <c r="D11" s="2"/>
      <c r="E11" s="2"/>
      <c r="F11" s="2"/>
      <c r="G11" s="2"/>
    </row>
    <row r="12" spans="2:24" x14ac:dyDescent="0.25">
      <c r="B12" s="2"/>
      <c r="C12" s="2"/>
      <c r="D12" s="2"/>
      <c r="E12" s="2"/>
      <c r="F12" s="2"/>
      <c r="G12" s="2"/>
    </row>
    <row r="13" spans="2:24" x14ac:dyDescent="0.25">
      <c r="B13" s="2"/>
      <c r="C13" s="2"/>
      <c r="D13" s="2"/>
      <c r="E13" s="2"/>
      <c r="F13" s="2"/>
      <c r="G13" s="2"/>
    </row>
    <row r="14" spans="2:24" x14ac:dyDescent="0.25">
      <c r="B14" s="2"/>
      <c r="C14" s="2"/>
      <c r="D14" s="2"/>
      <c r="E14" s="2"/>
      <c r="F14" s="2"/>
      <c r="G14" s="2"/>
    </row>
    <row r="15" spans="2:24" x14ac:dyDescent="0.25">
      <c r="B15" s="2"/>
      <c r="C15" s="2"/>
      <c r="D15" s="2"/>
      <c r="E15" s="2"/>
      <c r="F15" s="2"/>
      <c r="G15" s="2"/>
    </row>
    <row r="16" spans="2:24" x14ac:dyDescent="0.25">
      <c r="B16" s="2"/>
      <c r="C16" s="2"/>
      <c r="D16" s="2"/>
      <c r="E16" s="2"/>
      <c r="F16" s="2"/>
      <c r="G16" s="2"/>
    </row>
    <row r="17" spans="2:20" x14ac:dyDescent="0.25">
      <c r="B17" s="2"/>
      <c r="C17" s="2"/>
      <c r="D17" s="2"/>
      <c r="E17" s="2"/>
      <c r="F17" s="2"/>
      <c r="G17" s="2"/>
      <c r="T17" s="2"/>
    </row>
    <row r="18" spans="2:20" x14ac:dyDescent="0.25">
      <c r="B18" s="2"/>
      <c r="C18" s="2"/>
      <c r="D18" s="2"/>
      <c r="E18" s="2"/>
      <c r="F18" s="2"/>
      <c r="G18" s="2"/>
    </row>
    <row r="19" spans="2:20" x14ac:dyDescent="0.25">
      <c r="B19" s="2"/>
      <c r="C19" s="2"/>
      <c r="D19" s="2"/>
      <c r="E19" s="2"/>
      <c r="F19" s="2"/>
      <c r="G19" s="2"/>
    </row>
    <row r="20" spans="2:20" x14ac:dyDescent="0.25">
      <c r="B20" s="2"/>
      <c r="C20" s="2"/>
      <c r="D20" s="2"/>
      <c r="E20" s="2"/>
      <c r="F20" s="2"/>
      <c r="G20" s="2"/>
    </row>
    <row r="21" spans="2:20" x14ac:dyDescent="0.25">
      <c r="B21" s="2"/>
      <c r="C21" s="2"/>
      <c r="D21" s="2"/>
      <c r="E21" s="2"/>
      <c r="F21" s="2"/>
      <c r="G21" s="2"/>
    </row>
    <row r="22" spans="2:20" x14ac:dyDescent="0.25">
      <c r="B22" s="2"/>
      <c r="C22" s="2"/>
      <c r="D22" s="2"/>
      <c r="E22" s="2"/>
      <c r="F22" s="2"/>
      <c r="G22" s="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X9"/>
  <sheetViews>
    <sheetView workbookViewId="0">
      <selection activeCell="T10" sqref="T10"/>
    </sheetView>
  </sheetViews>
  <sheetFormatPr baseColWidth="10" defaultRowHeight="15" x14ac:dyDescent="0.25"/>
  <sheetData>
    <row r="1" spans="2:24" ht="77.25" customHeight="1" x14ac:dyDescent="0.25"/>
    <row r="2" spans="2:24" x14ac:dyDescent="0.25"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Q2" s="2" t="s">
        <v>2</v>
      </c>
      <c r="R2" s="2" t="s">
        <v>3</v>
      </c>
      <c r="S2" s="2" t="s">
        <v>4</v>
      </c>
      <c r="T2" s="2" t="s">
        <v>5</v>
      </c>
      <c r="U2" s="2" t="s">
        <v>6</v>
      </c>
      <c r="W2" s="2" t="s">
        <v>19</v>
      </c>
    </row>
    <row r="3" spans="2:24" x14ac:dyDescent="0.25">
      <c r="J3" s="2">
        <f>SUM(C:C)*120000</f>
        <v>360000</v>
      </c>
      <c r="K3" s="2">
        <f>SUM(D:D)*250000</f>
        <v>1000000</v>
      </c>
      <c r="L3" s="2">
        <f>SUM(E:E)*350000</f>
        <v>1750000</v>
      </c>
      <c r="M3" s="2">
        <f>SUM(F:F)*30000</f>
        <v>180000</v>
      </c>
      <c r="N3" s="2">
        <f>SUM(G:G)*70000</f>
        <v>490000</v>
      </c>
      <c r="P3" s="2" t="s">
        <v>15</v>
      </c>
      <c r="Q3" s="2">
        <f>SUM(C:C)</f>
        <v>3</v>
      </c>
      <c r="R3" s="2">
        <f>SUM(D:D)</f>
        <v>4</v>
      </c>
      <c r="S3" s="2">
        <f>SUM(E:E)</f>
        <v>5</v>
      </c>
      <c r="T3" s="2">
        <f>SUM(F:F)</f>
        <v>6</v>
      </c>
      <c r="U3" s="2">
        <f>SUM(G:G)</f>
        <v>7</v>
      </c>
      <c r="W3" s="2">
        <f>SUM(J3,K3,L3,M3,N3)</f>
        <v>3780000</v>
      </c>
      <c r="X3" s="2" t="s">
        <v>31</v>
      </c>
    </row>
    <row r="4" spans="2:24" x14ac:dyDescent="0.25">
      <c r="B4" s="2" t="s">
        <v>12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</row>
    <row r="5" spans="2:24" x14ac:dyDescent="0.25">
      <c r="B5" s="2" t="s">
        <v>31</v>
      </c>
      <c r="C5" s="2">
        <v>3</v>
      </c>
      <c r="D5" s="2">
        <v>4</v>
      </c>
      <c r="E5" s="2">
        <v>5</v>
      </c>
      <c r="F5" s="2">
        <v>6</v>
      </c>
      <c r="G5" s="2">
        <v>7</v>
      </c>
    </row>
    <row r="6" spans="2:24" x14ac:dyDescent="0.25">
      <c r="B6" s="2"/>
      <c r="C6" s="2"/>
      <c r="D6" s="2"/>
      <c r="E6" s="2"/>
      <c r="F6" s="2"/>
      <c r="G6" s="2"/>
    </row>
    <row r="7" spans="2:24" x14ac:dyDescent="0.25">
      <c r="B7" s="2"/>
      <c r="C7" s="2"/>
      <c r="D7" s="2"/>
      <c r="E7" s="2"/>
      <c r="F7" s="2"/>
      <c r="G7" s="2"/>
    </row>
    <row r="8" spans="2:24" x14ac:dyDescent="0.25">
      <c r="B8" s="2"/>
      <c r="C8" s="2"/>
      <c r="D8" s="2"/>
      <c r="E8" s="2"/>
      <c r="F8" s="2"/>
      <c r="G8" s="2"/>
    </row>
    <row r="9" spans="2:24" x14ac:dyDescent="0.25">
      <c r="B9" s="2"/>
      <c r="C9" s="2"/>
      <c r="D9" s="2"/>
      <c r="E9" s="2"/>
      <c r="F9" s="2"/>
      <c r="G9" s="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X12"/>
  <sheetViews>
    <sheetView topLeftCell="Q1" workbookViewId="0">
      <selection activeCell="Z14" sqref="Z14"/>
    </sheetView>
  </sheetViews>
  <sheetFormatPr baseColWidth="10" defaultRowHeight="15" x14ac:dyDescent="0.25"/>
  <sheetData>
    <row r="1" spans="2:24" ht="72" customHeight="1" x14ac:dyDescent="0.25"/>
    <row r="2" spans="2:24" x14ac:dyDescent="0.25"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Q2" s="2" t="s">
        <v>2</v>
      </c>
      <c r="R2" s="2" t="s">
        <v>3</v>
      </c>
      <c r="S2" s="2" t="s">
        <v>4</v>
      </c>
      <c r="T2" s="2" t="s">
        <v>5</v>
      </c>
      <c r="U2" s="2" t="s">
        <v>6</v>
      </c>
      <c r="W2" s="2" t="s">
        <v>19</v>
      </c>
    </row>
    <row r="3" spans="2:24" x14ac:dyDescent="0.25">
      <c r="J3" s="2">
        <f>SUM(C:C)*120000</f>
        <v>1440000</v>
      </c>
      <c r="K3" s="2">
        <f>SUM(D:D)*250000</f>
        <v>500000</v>
      </c>
      <c r="L3" s="2">
        <f>SUM(E:E)*350000</f>
        <v>2450000</v>
      </c>
      <c r="M3" s="2">
        <f>SUM(F:F)*30000</f>
        <v>150000</v>
      </c>
      <c r="N3" s="2">
        <f>SUM(G:G)*70000</f>
        <v>280000</v>
      </c>
      <c r="P3" s="2" t="s">
        <v>15</v>
      </c>
      <c r="Q3" s="2">
        <f>SUM(C:C)</f>
        <v>12</v>
      </c>
      <c r="R3" s="2">
        <f>SUM(D:D)</f>
        <v>2</v>
      </c>
      <c r="S3" s="2">
        <f>SUM(E:E)</f>
        <v>7</v>
      </c>
      <c r="T3" s="2">
        <f>SUM(F:F)</f>
        <v>5</v>
      </c>
      <c r="U3" s="2">
        <f>SUM(G:G)</f>
        <v>4</v>
      </c>
      <c r="W3" s="2">
        <f>SUM(J3,K3,L3,M3,N3)</f>
        <v>4820000</v>
      </c>
      <c r="X3" s="2" t="s">
        <v>32</v>
      </c>
    </row>
    <row r="4" spans="2:24" x14ac:dyDescent="0.25">
      <c r="B4" s="2" t="s">
        <v>12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</row>
    <row r="5" spans="2:24" x14ac:dyDescent="0.25">
      <c r="B5" s="2" t="s">
        <v>32</v>
      </c>
      <c r="C5" s="2">
        <v>12</v>
      </c>
      <c r="D5" s="2">
        <v>2</v>
      </c>
      <c r="E5" s="2">
        <v>7</v>
      </c>
      <c r="F5" s="2">
        <v>5</v>
      </c>
      <c r="G5" s="2">
        <v>4</v>
      </c>
    </row>
    <row r="6" spans="2:24" x14ac:dyDescent="0.25">
      <c r="B6" s="2"/>
      <c r="C6" s="2"/>
      <c r="D6" s="2"/>
      <c r="E6" s="2"/>
      <c r="F6" s="2"/>
      <c r="G6" s="2"/>
    </row>
    <row r="7" spans="2:24" x14ac:dyDescent="0.25">
      <c r="B7" s="2"/>
      <c r="C7" s="2"/>
      <c r="D7" s="2"/>
      <c r="E7" s="2"/>
      <c r="F7" s="2"/>
      <c r="G7" s="2"/>
    </row>
    <row r="8" spans="2:24" x14ac:dyDescent="0.25">
      <c r="B8" s="2"/>
      <c r="C8" s="2"/>
      <c r="D8" s="2"/>
      <c r="E8" s="2"/>
      <c r="F8" s="2"/>
      <c r="G8" s="2"/>
    </row>
    <row r="9" spans="2:24" x14ac:dyDescent="0.25">
      <c r="B9" s="2"/>
      <c r="C9" s="2"/>
      <c r="D9" s="2"/>
      <c r="E9" s="2"/>
      <c r="F9" s="2"/>
      <c r="G9" s="2"/>
    </row>
    <row r="10" spans="2:24" x14ac:dyDescent="0.25">
      <c r="B10" s="2"/>
      <c r="C10" s="2"/>
      <c r="D10" s="2"/>
      <c r="E10" s="2"/>
      <c r="F10" s="2"/>
      <c r="G10" s="2"/>
    </row>
    <row r="11" spans="2:24" x14ac:dyDescent="0.25">
      <c r="B11" s="2"/>
      <c r="C11" s="2"/>
      <c r="D11" s="2"/>
      <c r="E11" s="2"/>
      <c r="F11" s="2"/>
      <c r="G11" s="2"/>
    </row>
    <row r="12" spans="2:24" x14ac:dyDescent="0.25">
      <c r="B12" s="2"/>
      <c r="C12" s="2"/>
      <c r="D12" s="2"/>
      <c r="E12" s="2"/>
      <c r="F12" s="2"/>
      <c r="G12" s="2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O147"/>
  <sheetViews>
    <sheetView workbookViewId="0"/>
  </sheetViews>
  <sheetFormatPr baseColWidth="10" defaultRowHeight="15" x14ac:dyDescent="0.25"/>
  <cols>
    <col min="8" max="8" width="12.7109375" customWidth="1"/>
    <col min="10" max="10" width="12.140625" customWidth="1"/>
    <col min="14" max="14" width="13.42578125" customWidth="1"/>
  </cols>
  <sheetData>
    <row r="1" spans="2:15" ht="75.75" customHeight="1" x14ac:dyDescent="0.25"/>
    <row r="3" spans="2:15" x14ac:dyDescent="0.25">
      <c r="F3" s="2"/>
      <c r="H3" s="1" t="s">
        <v>18</v>
      </c>
      <c r="I3" s="1">
        <f>SUM(D:D)</f>
        <v>44800000</v>
      </c>
      <c r="K3" s="1" t="s">
        <v>20</v>
      </c>
      <c r="L3" s="1">
        <f>SUM(E:E)</f>
        <v>22735000</v>
      </c>
      <c r="N3" s="1" t="s">
        <v>21</v>
      </c>
      <c r="O3" s="1">
        <f>SUM(C:C)</f>
        <v>940000</v>
      </c>
    </row>
    <row r="4" spans="2:15" x14ac:dyDescent="0.25">
      <c r="B4" s="2" t="s">
        <v>13</v>
      </c>
      <c r="C4" s="2" t="s">
        <v>14</v>
      </c>
      <c r="D4" s="2" t="s">
        <v>16</v>
      </c>
      <c r="E4" s="2" t="s">
        <v>17</v>
      </c>
    </row>
    <row r="5" spans="2:15" x14ac:dyDescent="0.25">
      <c r="B5" s="2"/>
      <c r="C5" s="2"/>
      <c r="D5" s="2"/>
      <c r="E5" s="2">
        <f>'BD General Ingresos'!N3*0.05</f>
        <v>2273500</v>
      </c>
    </row>
    <row r="6" spans="2:15" x14ac:dyDescent="0.25">
      <c r="B6" s="2"/>
      <c r="C6" s="2"/>
      <c r="D6" s="2"/>
      <c r="E6" s="2">
        <f>'BD General Ingresos'!N3*0.05</f>
        <v>2273500</v>
      </c>
    </row>
    <row r="7" spans="2:15" x14ac:dyDescent="0.25">
      <c r="B7" s="2"/>
      <c r="C7" s="2"/>
      <c r="D7" s="2"/>
      <c r="E7" s="2">
        <f>'BD General Ingresos'!N3*0.05</f>
        <v>2273500</v>
      </c>
    </row>
    <row r="8" spans="2:15" x14ac:dyDescent="0.25">
      <c r="B8" s="2"/>
      <c r="C8" s="2"/>
      <c r="D8" s="2"/>
      <c r="E8" s="2">
        <f>'BD General Ingresos'!N3*0.05</f>
        <v>2273500</v>
      </c>
    </row>
    <row r="9" spans="2:15" x14ac:dyDescent="0.25">
      <c r="B9" s="2"/>
      <c r="C9" s="2"/>
      <c r="D9" s="2"/>
      <c r="E9" s="2">
        <f>'BD General Ingresos'!N3*0.05</f>
        <v>2273500</v>
      </c>
    </row>
    <row r="10" spans="2:15" x14ac:dyDescent="0.25">
      <c r="B10" s="2"/>
      <c r="C10" s="2"/>
      <c r="D10" s="2"/>
      <c r="E10" s="2">
        <f>'BD General Ingresos'!N3*0.05</f>
        <v>2273500</v>
      </c>
    </row>
    <row r="11" spans="2:15" x14ac:dyDescent="0.25">
      <c r="B11" s="2"/>
      <c r="C11" s="2"/>
      <c r="D11" s="2"/>
      <c r="E11" s="2">
        <f>'BD General Ingresos'!N3*0.05</f>
        <v>2273500</v>
      </c>
    </row>
    <row r="12" spans="2:15" x14ac:dyDescent="0.25">
      <c r="B12" s="2"/>
      <c r="C12" s="2"/>
      <c r="D12" s="2"/>
      <c r="E12" s="2">
        <f>'BD General Ingresos'!N3*0.05</f>
        <v>2273500</v>
      </c>
    </row>
    <row r="13" spans="2:15" x14ac:dyDescent="0.25">
      <c r="B13" s="2"/>
      <c r="C13" s="2"/>
      <c r="D13" s="2">
        <f t="shared" ref="D13:D44" si="0">4*200000</f>
        <v>800000</v>
      </c>
      <c r="E13" s="2"/>
    </row>
    <row r="14" spans="2:15" x14ac:dyDescent="0.25">
      <c r="B14" s="2"/>
      <c r="C14" s="2"/>
      <c r="D14" s="2">
        <f t="shared" si="0"/>
        <v>800000</v>
      </c>
      <c r="E14" s="2"/>
    </row>
    <row r="15" spans="2:15" x14ac:dyDescent="0.25">
      <c r="B15" s="2"/>
      <c r="C15" s="2"/>
      <c r="D15" s="2">
        <f t="shared" si="0"/>
        <v>800000</v>
      </c>
      <c r="E15" s="2"/>
    </row>
    <row r="16" spans="2:15" x14ac:dyDescent="0.25">
      <c r="B16" s="2"/>
      <c r="C16" s="2"/>
      <c r="D16" s="2">
        <f t="shared" si="0"/>
        <v>800000</v>
      </c>
      <c r="E16" s="2"/>
    </row>
    <row r="17" spans="2:5" x14ac:dyDescent="0.25">
      <c r="B17" s="2"/>
      <c r="C17" s="2"/>
      <c r="D17" s="2">
        <f t="shared" si="0"/>
        <v>800000</v>
      </c>
      <c r="E17" s="2"/>
    </row>
    <row r="18" spans="2:5" x14ac:dyDescent="0.25">
      <c r="B18" s="2"/>
      <c r="C18" s="2"/>
      <c r="D18" s="2">
        <f t="shared" si="0"/>
        <v>800000</v>
      </c>
      <c r="E18" s="2"/>
    </row>
    <row r="19" spans="2:5" x14ac:dyDescent="0.25">
      <c r="B19" s="2"/>
      <c r="C19" s="2"/>
      <c r="D19" s="2">
        <f t="shared" si="0"/>
        <v>800000</v>
      </c>
      <c r="E19" s="2"/>
    </row>
    <row r="20" spans="2:5" x14ac:dyDescent="0.25">
      <c r="B20" s="2"/>
      <c r="C20" s="2"/>
      <c r="D20" s="2">
        <f t="shared" si="0"/>
        <v>800000</v>
      </c>
      <c r="E20" s="2"/>
    </row>
    <row r="21" spans="2:5" x14ac:dyDescent="0.25">
      <c r="B21" s="2"/>
      <c r="C21" s="2"/>
      <c r="D21" s="2">
        <f t="shared" si="0"/>
        <v>800000</v>
      </c>
      <c r="E21" s="2"/>
    </row>
    <row r="22" spans="2:5" x14ac:dyDescent="0.25">
      <c r="B22" s="2"/>
      <c r="C22" s="2"/>
      <c r="D22" s="2">
        <f t="shared" si="0"/>
        <v>800000</v>
      </c>
      <c r="E22" s="2"/>
    </row>
    <row r="23" spans="2:5" x14ac:dyDescent="0.25">
      <c r="B23" s="2"/>
      <c r="C23" s="2"/>
      <c r="D23" s="2">
        <f t="shared" si="0"/>
        <v>800000</v>
      </c>
      <c r="E23" s="2"/>
    </row>
    <row r="24" spans="2:5" x14ac:dyDescent="0.25">
      <c r="B24" s="2"/>
      <c r="C24" s="2"/>
      <c r="D24" s="2">
        <f t="shared" si="0"/>
        <v>800000</v>
      </c>
      <c r="E24" s="2"/>
    </row>
    <row r="25" spans="2:5" x14ac:dyDescent="0.25">
      <c r="B25" s="2"/>
      <c r="C25" s="2"/>
      <c r="D25" s="2">
        <f t="shared" si="0"/>
        <v>800000</v>
      </c>
      <c r="E25" s="2"/>
    </row>
    <row r="26" spans="2:5" x14ac:dyDescent="0.25">
      <c r="B26" s="2"/>
      <c r="C26" s="2"/>
      <c r="D26" s="2">
        <f t="shared" si="0"/>
        <v>800000</v>
      </c>
      <c r="E26" s="2"/>
    </row>
    <row r="27" spans="2:5" x14ac:dyDescent="0.25">
      <c r="B27" s="2"/>
      <c r="C27" s="2"/>
      <c r="D27" s="2">
        <f t="shared" si="0"/>
        <v>800000</v>
      </c>
      <c r="E27" s="2"/>
    </row>
    <row r="28" spans="2:5" x14ac:dyDescent="0.25">
      <c r="B28" s="2"/>
      <c r="C28" s="2"/>
      <c r="D28" s="2">
        <f t="shared" si="0"/>
        <v>800000</v>
      </c>
      <c r="E28" s="2"/>
    </row>
    <row r="29" spans="2:5" x14ac:dyDescent="0.25">
      <c r="B29" s="2"/>
      <c r="C29" s="2"/>
      <c r="D29" s="2">
        <f t="shared" si="0"/>
        <v>800000</v>
      </c>
      <c r="E29" s="2"/>
    </row>
    <row r="30" spans="2:5" x14ac:dyDescent="0.25">
      <c r="B30" s="2"/>
      <c r="C30" s="2"/>
      <c r="D30" s="2">
        <f t="shared" si="0"/>
        <v>800000</v>
      </c>
      <c r="E30" s="2"/>
    </row>
    <row r="31" spans="2:5" x14ac:dyDescent="0.25">
      <c r="B31" s="2"/>
      <c r="C31" s="2"/>
      <c r="D31" s="2">
        <f t="shared" si="0"/>
        <v>800000</v>
      </c>
      <c r="E31" s="2"/>
    </row>
    <row r="32" spans="2:5" x14ac:dyDescent="0.25">
      <c r="B32" s="2"/>
      <c r="C32" s="2"/>
      <c r="D32" s="2">
        <f t="shared" si="0"/>
        <v>800000</v>
      </c>
      <c r="E32" s="2"/>
    </row>
    <row r="33" spans="2:5" x14ac:dyDescent="0.25">
      <c r="B33" s="2"/>
      <c r="C33" s="2"/>
      <c r="D33" s="2">
        <f t="shared" si="0"/>
        <v>800000</v>
      </c>
      <c r="E33" s="2"/>
    </row>
    <row r="34" spans="2:5" x14ac:dyDescent="0.25">
      <c r="B34" s="2"/>
      <c r="C34" s="2"/>
      <c r="D34" s="2">
        <f t="shared" si="0"/>
        <v>800000</v>
      </c>
      <c r="E34" s="2"/>
    </row>
    <row r="35" spans="2:5" x14ac:dyDescent="0.25">
      <c r="B35" s="2"/>
      <c r="C35" s="2"/>
      <c r="D35" s="2">
        <f t="shared" si="0"/>
        <v>800000</v>
      </c>
      <c r="E35" s="2"/>
    </row>
    <row r="36" spans="2:5" x14ac:dyDescent="0.25">
      <c r="B36" s="2"/>
      <c r="C36" s="2"/>
      <c r="D36" s="2">
        <f t="shared" si="0"/>
        <v>800000</v>
      </c>
      <c r="E36" s="2"/>
    </row>
    <row r="37" spans="2:5" x14ac:dyDescent="0.25">
      <c r="B37" s="2"/>
      <c r="C37" s="2"/>
      <c r="D37" s="2">
        <f t="shared" si="0"/>
        <v>800000</v>
      </c>
      <c r="E37" s="2"/>
    </row>
    <row r="38" spans="2:5" x14ac:dyDescent="0.25">
      <c r="B38" s="2"/>
      <c r="C38" s="2"/>
      <c r="D38" s="2">
        <f t="shared" si="0"/>
        <v>800000</v>
      </c>
      <c r="E38" s="2"/>
    </row>
    <row r="39" spans="2:5" x14ac:dyDescent="0.25">
      <c r="B39" s="2"/>
      <c r="C39" s="2"/>
      <c r="D39" s="2">
        <f t="shared" si="0"/>
        <v>800000</v>
      </c>
      <c r="E39" s="2"/>
    </row>
    <row r="40" spans="2:5" x14ac:dyDescent="0.25">
      <c r="B40" s="2"/>
      <c r="C40" s="2"/>
      <c r="D40" s="2">
        <f t="shared" si="0"/>
        <v>800000</v>
      </c>
      <c r="E40" s="2"/>
    </row>
    <row r="41" spans="2:5" x14ac:dyDescent="0.25">
      <c r="B41" s="2"/>
      <c r="C41" s="2"/>
      <c r="D41" s="2">
        <f t="shared" si="0"/>
        <v>800000</v>
      </c>
      <c r="E41" s="2"/>
    </row>
    <row r="42" spans="2:5" x14ac:dyDescent="0.25">
      <c r="B42" s="2"/>
      <c r="C42" s="2"/>
      <c r="D42" s="2">
        <f t="shared" si="0"/>
        <v>800000</v>
      </c>
      <c r="E42" s="2"/>
    </row>
    <row r="43" spans="2:5" x14ac:dyDescent="0.25">
      <c r="B43" s="2"/>
      <c r="C43" s="2"/>
      <c r="D43" s="2">
        <f t="shared" si="0"/>
        <v>800000</v>
      </c>
      <c r="E43" s="2"/>
    </row>
    <row r="44" spans="2:5" x14ac:dyDescent="0.25">
      <c r="B44" s="2"/>
      <c r="C44" s="2"/>
      <c r="D44" s="2">
        <f t="shared" si="0"/>
        <v>800000</v>
      </c>
      <c r="E44" s="2"/>
    </row>
    <row r="45" spans="2:5" x14ac:dyDescent="0.25">
      <c r="B45" s="2"/>
      <c r="C45" s="2"/>
      <c r="D45" s="2">
        <f t="shared" ref="D45:D63" si="1">4*200000</f>
        <v>800000</v>
      </c>
      <c r="E45" s="2"/>
    </row>
    <row r="46" spans="2:5" x14ac:dyDescent="0.25">
      <c r="B46" s="2"/>
      <c r="C46" s="2"/>
      <c r="D46" s="2">
        <f t="shared" si="1"/>
        <v>800000</v>
      </c>
      <c r="E46" s="2"/>
    </row>
    <row r="47" spans="2:5" x14ac:dyDescent="0.25">
      <c r="B47" s="2"/>
      <c r="C47" s="2"/>
      <c r="D47" s="2">
        <f t="shared" si="1"/>
        <v>800000</v>
      </c>
      <c r="E47" s="2"/>
    </row>
    <row r="48" spans="2:5" x14ac:dyDescent="0.25">
      <c r="B48" s="2"/>
      <c r="C48" s="2"/>
      <c r="D48" s="2">
        <f t="shared" si="1"/>
        <v>800000</v>
      </c>
      <c r="E48" s="2"/>
    </row>
    <row r="49" spans="2:5" x14ac:dyDescent="0.25">
      <c r="B49" s="2"/>
      <c r="C49" s="2"/>
      <c r="D49" s="2">
        <f t="shared" si="1"/>
        <v>800000</v>
      </c>
      <c r="E49" s="2"/>
    </row>
    <row r="50" spans="2:5" x14ac:dyDescent="0.25">
      <c r="B50" s="2"/>
      <c r="C50" s="2"/>
      <c r="D50" s="2">
        <f t="shared" si="1"/>
        <v>800000</v>
      </c>
      <c r="E50" s="2"/>
    </row>
    <row r="51" spans="2:5" x14ac:dyDescent="0.25">
      <c r="B51" s="2"/>
      <c r="C51" s="2"/>
      <c r="D51" s="2">
        <f t="shared" si="1"/>
        <v>800000</v>
      </c>
      <c r="E51" s="2"/>
    </row>
    <row r="52" spans="2:5" x14ac:dyDescent="0.25">
      <c r="B52" s="2"/>
      <c r="C52" s="2"/>
      <c r="D52" s="2">
        <f t="shared" si="1"/>
        <v>800000</v>
      </c>
      <c r="E52" s="2"/>
    </row>
    <row r="53" spans="2:5" x14ac:dyDescent="0.25">
      <c r="B53" s="2"/>
      <c r="C53" s="2"/>
      <c r="D53" s="2">
        <f t="shared" si="1"/>
        <v>800000</v>
      </c>
      <c r="E53" s="2"/>
    </row>
    <row r="54" spans="2:5" x14ac:dyDescent="0.25">
      <c r="B54" s="2"/>
      <c r="C54" s="2"/>
      <c r="D54" s="2">
        <f t="shared" si="1"/>
        <v>800000</v>
      </c>
      <c r="E54" s="2"/>
    </row>
    <row r="55" spans="2:5" x14ac:dyDescent="0.25">
      <c r="B55" s="2"/>
      <c r="C55" s="2"/>
      <c r="D55" s="2">
        <f t="shared" si="1"/>
        <v>800000</v>
      </c>
      <c r="E55" s="2"/>
    </row>
    <row r="56" spans="2:5" x14ac:dyDescent="0.25">
      <c r="B56" s="2"/>
      <c r="C56" s="2"/>
      <c r="D56" s="2">
        <f t="shared" si="1"/>
        <v>800000</v>
      </c>
      <c r="E56" s="2"/>
    </row>
    <row r="57" spans="2:5" x14ac:dyDescent="0.25">
      <c r="B57" s="2"/>
      <c r="C57" s="2"/>
      <c r="D57" s="2">
        <f t="shared" si="1"/>
        <v>800000</v>
      </c>
      <c r="E57" s="2"/>
    </row>
    <row r="58" spans="2:5" x14ac:dyDescent="0.25">
      <c r="B58" s="2"/>
      <c r="C58" s="2"/>
      <c r="D58" s="2">
        <f t="shared" si="1"/>
        <v>800000</v>
      </c>
      <c r="E58" s="2"/>
    </row>
    <row r="59" spans="2:5" x14ac:dyDescent="0.25">
      <c r="B59" s="2"/>
      <c r="C59" s="2"/>
      <c r="D59" s="2">
        <f t="shared" si="1"/>
        <v>800000</v>
      </c>
      <c r="E59" s="2"/>
    </row>
    <row r="60" spans="2:5" x14ac:dyDescent="0.25">
      <c r="B60" s="2"/>
      <c r="C60" s="2"/>
      <c r="D60" s="2">
        <f t="shared" si="1"/>
        <v>800000</v>
      </c>
      <c r="E60" s="2"/>
    </row>
    <row r="61" spans="2:5" x14ac:dyDescent="0.25">
      <c r="B61" s="2"/>
      <c r="C61" s="2"/>
      <c r="D61" s="2">
        <f t="shared" si="1"/>
        <v>800000</v>
      </c>
      <c r="E61" s="2"/>
    </row>
    <row r="62" spans="2:5" x14ac:dyDescent="0.25">
      <c r="B62" s="2"/>
      <c r="C62" s="2"/>
      <c r="D62" s="2">
        <f t="shared" si="1"/>
        <v>800000</v>
      </c>
      <c r="E62" s="2"/>
    </row>
    <row r="63" spans="2:5" x14ac:dyDescent="0.25">
      <c r="B63" s="2"/>
      <c r="C63" s="2"/>
      <c r="D63" s="2">
        <f t="shared" si="1"/>
        <v>800000</v>
      </c>
      <c r="E63" s="2"/>
    </row>
    <row r="64" spans="2:5" x14ac:dyDescent="0.25">
      <c r="B64" s="2"/>
      <c r="C64" s="2"/>
      <c r="D64" s="2"/>
      <c r="E64" s="2">
        <f>'BD General Ingresos'!N3*0.05</f>
        <v>2273500</v>
      </c>
    </row>
    <row r="65" spans="2:5" x14ac:dyDescent="0.25">
      <c r="B65" s="2"/>
      <c r="C65" s="2"/>
      <c r="D65" s="2"/>
      <c r="E65" s="2">
        <f>'BD General Ingresos'!N3*0.05</f>
        <v>2273500</v>
      </c>
    </row>
    <row r="66" spans="2:5" x14ac:dyDescent="0.25">
      <c r="B66" s="2"/>
      <c r="C66" s="2"/>
      <c r="D66" s="2">
        <f>4*200000</f>
        <v>800000</v>
      </c>
      <c r="E66" s="2"/>
    </row>
    <row r="67" spans="2:5" x14ac:dyDescent="0.25">
      <c r="B67" s="2"/>
      <c r="C67" s="2"/>
      <c r="D67" s="2">
        <f>4*200000</f>
        <v>800000</v>
      </c>
      <c r="E67" s="2"/>
    </row>
    <row r="68" spans="2:5" x14ac:dyDescent="0.25">
      <c r="B68" s="2"/>
      <c r="C68" s="2"/>
      <c r="D68" s="2">
        <f>4*200000</f>
        <v>800000</v>
      </c>
      <c r="E68" s="2"/>
    </row>
    <row r="69" spans="2:5" x14ac:dyDescent="0.25">
      <c r="B69" s="2" t="s">
        <v>34</v>
      </c>
      <c r="C69" s="2">
        <v>120000</v>
      </c>
      <c r="D69" s="2"/>
      <c r="E69" s="2"/>
    </row>
    <row r="70" spans="2:5" x14ac:dyDescent="0.25">
      <c r="B70" s="2" t="s">
        <v>34</v>
      </c>
      <c r="C70" s="2">
        <v>120000</v>
      </c>
      <c r="D70" s="2"/>
      <c r="E70" s="2"/>
    </row>
    <row r="71" spans="2:5" x14ac:dyDescent="0.25">
      <c r="B71" s="2" t="s">
        <v>34</v>
      </c>
      <c r="C71" s="2">
        <v>120000</v>
      </c>
      <c r="D71" s="2"/>
      <c r="E71" s="2"/>
    </row>
    <row r="72" spans="2:5" x14ac:dyDescent="0.25">
      <c r="B72" s="2" t="s">
        <v>34</v>
      </c>
      <c r="C72" s="2">
        <v>120000</v>
      </c>
      <c r="D72" s="2"/>
      <c r="E72" s="2"/>
    </row>
    <row r="73" spans="2:5" x14ac:dyDescent="0.25">
      <c r="B73" s="2" t="s">
        <v>34</v>
      </c>
      <c r="C73" s="2">
        <v>120000</v>
      </c>
      <c r="D73" s="2"/>
      <c r="E73" s="2"/>
    </row>
    <row r="74" spans="2:5" x14ac:dyDescent="0.25">
      <c r="B74" s="2" t="s">
        <v>34</v>
      </c>
      <c r="C74" s="2">
        <v>120000</v>
      </c>
      <c r="D74" s="2"/>
      <c r="E74" s="2"/>
    </row>
    <row r="75" spans="2:5" x14ac:dyDescent="0.25">
      <c r="B75" s="2" t="s">
        <v>34</v>
      </c>
      <c r="C75" s="2">
        <v>120000</v>
      </c>
      <c r="D75" s="2"/>
      <c r="E75" s="2"/>
    </row>
    <row r="76" spans="2:5" x14ac:dyDescent="0.25">
      <c r="B76" s="2"/>
      <c r="C76" s="2"/>
      <c r="D76" s="2">
        <f>4*200000</f>
        <v>800000</v>
      </c>
      <c r="E76" s="2"/>
    </row>
    <row r="77" spans="2:5" x14ac:dyDescent="0.25">
      <c r="B77" s="2"/>
      <c r="C77" s="2"/>
      <c r="D77" s="2">
        <f>4*200000</f>
        <v>800000</v>
      </c>
      <c r="E77" s="2"/>
    </row>
    <row r="78" spans="2:5" x14ac:dyDescent="0.25">
      <c r="B78" s="2" t="s">
        <v>34</v>
      </c>
      <c r="C78" s="2">
        <v>20000</v>
      </c>
      <c r="D78" s="2"/>
      <c r="E78" s="2"/>
    </row>
    <row r="79" spans="2:5" x14ac:dyDescent="0.25">
      <c r="B79" s="2" t="s">
        <v>34</v>
      </c>
      <c r="C79" s="2">
        <v>20000</v>
      </c>
      <c r="D79" s="2"/>
      <c r="E79" s="2"/>
    </row>
    <row r="80" spans="2:5" x14ac:dyDescent="0.25">
      <c r="B80" s="2" t="s">
        <v>34</v>
      </c>
      <c r="C80" s="2">
        <v>20000</v>
      </c>
      <c r="D80" s="2"/>
      <c r="E80" s="2"/>
    </row>
    <row r="81" spans="2:5" x14ac:dyDescent="0.25">
      <c r="B81" s="2" t="s">
        <v>34</v>
      </c>
      <c r="C81" s="2">
        <v>20000</v>
      </c>
      <c r="D81" s="2"/>
      <c r="E81" s="2"/>
    </row>
    <row r="82" spans="2:5" x14ac:dyDescent="0.25">
      <c r="B82" s="2" t="s">
        <v>34</v>
      </c>
      <c r="C82" s="2">
        <v>20000</v>
      </c>
      <c r="D82" s="2"/>
      <c r="E82" s="2"/>
    </row>
    <row r="83" spans="2:5" x14ac:dyDescent="0.25">
      <c r="B83" s="2"/>
      <c r="C83" s="2"/>
      <c r="D83" s="2"/>
      <c r="E83" s="2"/>
    </row>
    <row r="84" spans="2:5" x14ac:dyDescent="0.25">
      <c r="B84" s="2"/>
      <c r="C84" s="2"/>
      <c r="D84" s="2"/>
      <c r="E84" s="2"/>
    </row>
    <row r="85" spans="2:5" x14ac:dyDescent="0.25">
      <c r="B85" s="2"/>
      <c r="C85" s="2"/>
      <c r="D85" s="2"/>
      <c r="E85" s="2"/>
    </row>
    <row r="86" spans="2:5" x14ac:dyDescent="0.25">
      <c r="B86" s="2"/>
      <c r="C86" s="2"/>
      <c r="D86" s="2"/>
      <c r="E86" s="2"/>
    </row>
    <row r="87" spans="2:5" x14ac:dyDescent="0.25">
      <c r="B87" s="2"/>
      <c r="C87" s="2"/>
      <c r="D87" s="2"/>
      <c r="E87" s="2"/>
    </row>
    <row r="88" spans="2:5" x14ac:dyDescent="0.25">
      <c r="B88" s="2"/>
      <c r="C88" s="2"/>
      <c r="D88" s="2"/>
      <c r="E88" s="2"/>
    </row>
    <row r="89" spans="2:5" x14ac:dyDescent="0.25">
      <c r="B89" s="2"/>
      <c r="C89" s="2"/>
      <c r="D89" s="2"/>
      <c r="E89" s="2"/>
    </row>
    <row r="90" spans="2:5" x14ac:dyDescent="0.25">
      <c r="B90" s="2"/>
      <c r="C90" s="2"/>
      <c r="D90" s="2"/>
      <c r="E90" s="2"/>
    </row>
    <row r="91" spans="2:5" x14ac:dyDescent="0.25">
      <c r="B91" s="2"/>
      <c r="C91" s="2"/>
      <c r="D91" s="2"/>
      <c r="E91" s="2"/>
    </row>
    <row r="92" spans="2:5" x14ac:dyDescent="0.25">
      <c r="B92" s="2"/>
      <c r="C92" s="2"/>
      <c r="D92" s="2"/>
      <c r="E92" s="2"/>
    </row>
    <row r="93" spans="2:5" x14ac:dyDescent="0.25">
      <c r="B93" s="2"/>
      <c r="C93" s="2"/>
      <c r="D93" s="2"/>
      <c r="E93" s="2"/>
    </row>
    <row r="94" spans="2:5" x14ac:dyDescent="0.25">
      <c r="B94" s="2"/>
      <c r="C94" s="2"/>
      <c r="D94" s="2"/>
      <c r="E94" s="2"/>
    </row>
    <row r="95" spans="2:5" x14ac:dyDescent="0.25">
      <c r="B95" s="2"/>
      <c r="C95" s="2"/>
      <c r="D95" s="2"/>
      <c r="E95" s="2"/>
    </row>
    <row r="96" spans="2:5" x14ac:dyDescent="0.25">
      <c r="B96" s="2"/>
      <c r="C96" s="2"/>
      <c r="D96" s="2"/>
      <c r="E96" s="2"/>
    </row>
    <row r="97" spans="2:5" x14ac:dyDescent="0.25">
      <c r="B97" s="2"/>
      <c r="C97" s="2"/>
      <c r="D97" s="2"/>
      <c r="E97" s="2"/>
    </row>
    <row r="98" spans="2:5" x14ac:dyDescent="0.25">
      <c r="B98" s="2"/>
      <c r="C98" s="2"/>
      <c r="D98" s="2"/>
      <c r="E98" s="2"/>
    </row>
    <row r="99" spans="2:5" x14ac:dyDescent="0.25">
      <c r="B99" s="2"/>
      <c r="C99" s="2"/>
      <c r="D99" s="2"/>
      <c r="E99" s="2"/>
    </row>
    <row r="100" spans="2:5" x14ac:dyDescent="0.25">
      <c r="B100" s="2"/>
      <c r="C100" s="2"/>
      <c r="D100" s="2"/>
      <c r="E100" s="2"/>
    </row>
    <row r="101" spans="2:5" x14ac:dyDescent="0.25">
      <c r="B101" s="2"/>
      <c r="C101" s="2"/>
      <c r="D101" s="2"/>
      <c r="E101" s="2"/>
    </row>
    <row r="102" spans="2:5" x14ac:dyDescent="0.25">
      <c r="B102" s="2"/>
      <c r="C102" s="2"/>
      <c r="D102" s="2"/>
      <c r="E102" s="2"/>
    </row>
    <row r="103" spans="2:5" x14ac:dyDescent="0.25">
      <c r="B103" s="2"/>
      <c r="C103" s="2"/>
      <c r="D103" s="2"/>
      <c r="E103" s="2"/>
    </row>
    <row r="104" spans="2:5" x14ac:dyDescent="0.25">
      <c r="B104" s="2"/>
      <c r="C104" s="2"/>
      <c r="D104" s="2"/>
      <c r="E104" s="2"/>
    </row>
    <row r="105" spans="2:5" x14ac:dyDescent="0.25">
      <c r="B105" s="2"/>
      <c r="C105" s="2"/>
      <c r="D105" s="2"/>
      <c r="E105" s="2"/>
    </row>
    <row r="106" spans="2:5" x14ac:dyDescent="0.25">
      <c r="B106" s="2"/>
      <c r="C106" s="2"/>
      <c r="D106" s="2"/>
      <c r="E106" s="2"/>
    </row>
    <row r="107" spans="2:5" x14ac:dyDescent="0.25">
      <c r="B107" s="2"/>
      <c r="C107" s="2"/>
      <c r="D107" s="2"/>
      <c r="E107" s="2"/>
    </row>
    <row r="108" spans="2:5" x14ac:dyDescent="0.25">
      <c r="B108" s="2"/>
      <c r="C108" s="2"/>
      <c r="D108" s="2"/>
      <c r="E108" s="2"/>
    </row>
    <row r="109" spans="2:5" x14ac:dyDescent="0.25">
      <c r="B109" s="2"/>
      <c r="C109" s="2"/>
      <c r="D109" s="2"/>
      <c r="E109" s="2"/>
    </row>
    <row r="110" spans="2:5" x14ac:dyDescent="0.25">
      <c r="B110" s="2"/>
      <c r="C110" s="2"/>
      <c r="D110" s="2"/>
      <c r="E110" s="2"/>
    </row>
    <row r="111" spans="2:5" x14ac:dyDescent="0.25">
      <c r="B111" s="2"/>
      <c r="C111" s="2"/>
      <c r="D111" s="2"/>
      <c r="E111" s="2"/>
    </row>
    <row r="112" spans="2:5" x14ac:dyDescent="0.25">
      <c r="B112" s="2"/>
      <c r="C112" s="2"/>
      <c r="D112" s="2"/>
      <c r="E112" s="2"/>
    </row>
    <row r="113" spans="2:5" x14ac:dyDescent="0.25">
      <c r="B113" s="2"/>
      <c r="C113" s="2"/>
      <c r="D113" s="2"/>
      <c r="E113" s="2"/>
    </row>
    <row r="114" spans="2:5" x14ac:dyDescent="0.25">
      <c r="B114" s="2"/>
      <c r="C114" s="2"/>
      <c r="D114" s="2"/>
      <c r="E114" s="2"/>
    </row>
    <row r="115" spans="2:5" x14ac:dyDescent="0.25">
      <c r="B115" s="2"/>
      <c r="C115" s="2"/>
      <c r="D115" s="2"/>
      <c r="E115" s="2"/>
    </row>
    <row r="116" spans="2:5" x14ac:dyDescent="0.25">
      <c r="B116" s="2"/>
      <c r="C116" s="2"/>
      <c r="D116" s="2"/>
      <c r="E116" s="2"/>
    </row>
    <row r="117" spans="2:5" x14ac:dyDescent="0.25">
      <c r="B117" s="2"/>
      <c r="C117" s="2"/>
      <c r="D117" s="2"/>
      <c r="E117" s="2"/>
    </row>
    <row r="118" spans="2:5" x14ac:dyDescent="0.25">
      <c r="B118" s="2"/>
      <c r="C118" s="2"/>
      <c r="D118" s="2"/>
      <c r="E118" s="2"/>
    </row>
    <row r="119" spans="2:5" x14ac:dyDescent="0.25">
      <c r="B119" s="2"/>
      <c r="C119" s="2"/>
      <c r="D119" s="2"/>
      <c r="E119" s="2"/>
    </row>
    <row r="120" spans="2:5" x14ac:dyDescent="0.25">
      <c r="B120" s="2"/>
      <c r="C120" s="2"/>
      <c r="D120" s="2"/>
      <c r="E120" s="2"/>
    </row>
    <row r="121" spans="2:5" x14ac:dyDescent="0.25">
      <c r="B121" s="2"/>
      <c r="C121" s="2"/>
      <c r="D121" s="2"/>
    </row>
    <row r="122" spans="2:5" x14ac:dyDescent="0.25">
      <c r="B122" s="2"/>
      <c r="C122" s="2"/>
      <c r="D122" s="2"/>
      <c r="E122" s="2"/>
    </row>
    <row r="123" spans="2:5" x14ac:dyDescent="0.25">
      <c r="B123" s="2"/>
      <c r="C123" s="2"/>
      <c r="D123" s="2"/>
      <c r="E123" s="2"/>
    </row>
    <row r="124" spans="2:5" x14ac:dyDescent="0.25">
      <c r="B124" s="2"/>
      <c r="C124" s="2"/>
      <c r="D124" s="2"/>
      <c r="E124" s="2"/>
    </row>
    <row r="125" spans="2:5" x14ac:dyDescent="0.25">
      <c r="B125" s="2"/>
      <c r="C125" s="2"/>
      <c r="D125" s="2"/>
      <c r="E125" s="2"/>
    </row>
    <row r="126" spans="2:5" x14ac:dyDescent="0.25">
      <c r="B126" s="2"/>
      <c r="C126" s="2"/>
      <c r="D126" s="2"/>
      <c r="E126" s="2"/>
    </row>
    <row r="127" spans="2:5" x14ac:dyDescent="0.25">
      <c r="B127" s="2"/>
      <c r="C127" s="2"/>
      <c r="D127" s="2"/>
      <c r="E127" s="2"/>
    </row>
    <row r="128" spans="2:5" x14ac:dyDescent="0.25">
      <c r="B128" s="2"/>
      <c r="C128" s="2"/>
      <c r="D128" s="2"/>
      <c r="E128" s="2"/>
    </row>
    <row r="129" spans="2:5" x14ac:dyDescent="0.25">
      <c r="B129" s="2"/>
      <c r="C129" s="2"/>
      <c r="D129" s="2"/>
      <c r="E129" s="2"/>
    </row>
    <row r="130" spans="2:5" x14ac:dyDescent="0.25">
      <c r="B130" s="2"/>
      <c r="C130" s="2"/>
      <c r="D130" s="2"/>
      <c r="E130" s="2"/>
    </row>
    <row r="131" spans="2:5" x14ac:dyDescent="0.25">
      <c r="B131" s="2"/>
      <c r="C131" s="2"/>
      <c r="D131" s="2"/>
      <c r="E131" s="2"/>
    </row>
    <row r="132" spans="2:5" x14ac:dyDescent="0.25">
      <c r="B132" s="2"/>
      <c r="C132" s="2"/>
      <c r="D132" s="2"/>
      <c r="E132" s="2"/>
    </row>
    <row r="133" spans="2:5" x14ac:dyDescent="0.25">
      <c r="B133" s="2"/>
      <c r="C133" s="2"/>
      <c r="D133" s="2"/>
      <c r="E133" s="2"/>
    </row>
    <row r="134" spans="2:5" x14ac:dyDescent="0.25">
      <c r="B134" s="2"/>
      <c r="C134" s="2"/>
      <c r="D134" s="2"/>
      <c r="E134" s="2"/>
    </row>
    <row r="135" spans="2:5" x14ac:dyDescent="0.25">
      <c r="B135" s="2"/>
      <c r="C135" s="2"/>
      <c r="D135" s="2"/>
      <c r="E135" s="2"/>
    </row>
    <row r="136" spans="2:5" x14ac:dyDescent="0.25">
      <c r="B136" s="2"/>
      <c r="C136" s="2"/>
      <c r="D136" s="2"/>
      <c r="E136" s="2"/>
    </row>
    <row r="137" spans="2:5" x14ac:dyDescent="0.25">
      <c r="B137" s="2"/>
      <c r="C137" s="2"/>
      <c r="D137" s="2"/>
      <c r="E137" s="2"/>
    </row>
    <row r="138" spans="2:5" x14ac:dyDescent="0.25">
      <c r="B138" s="2"/>
      <c r="C138" s="2"/>
      <c r="D138" s="2"/>
      <c r="E138" s="2"/>
    </row>
    <row r="139" spans="2:5" x14ac:dyDescent="0.25">
      <c r="B139" s="2"/>
      <c r="C139" s="2"/>
      <c r="D139" s="2"/>
      <c r="E139" s="2"/>
    </row>
    <row r="140" spans="2:5" x14ac:dyDescent="0.25">
      <c r="B140" s="2"/>
      <c r="C140" s="2"/>
      <c r="D140" s="2"/>
      <c r="E140" s="2"/>
    </row>
    <row r="141" spans="2:5" x14ac:dyDescent="0.25">
      <c r="B141" s="2"/>
      <c r="C141" s="2"/>
      <c r="D141" s="2"/>
      <c r="E141" s="2"/>
    </row>
    <row r="142" spans="2:5" x14ac:dyDescent="0.25">
      <c r="B142" s="2"/>
      <c r="C142" s="2"/>
      <c r="D142" s="2"/>
      <c r="E142" s="2"/>
    </row>
    <row r="143" spans="2:5" x14ac:dyDescent="0.25">
      <c r="B143" s="2"/>
      <c r="C143" s="2"/>
      <c r="D143" s="2"/>
      <c r="E143" s="2"/>
    </row>
    <row r="144" spans="2:5" x14ac:dyDescent="0.25">
      <c r="B144" s="2"/>
      <c r="C144" s="2"/>
      <c r="D144" s="2"/>
      <c r="E144" s="2"/>
    </row>
    <row r="145" spans="2:5" x14ac:dyDescent="0.25">
      <c r="B145" s="2"/>
      <c r="C145" s="2"/>
      <c r="D145" s="2"/>
      <c r="E145" s="2"/>
    </row>
    <row r="146" spans="2:5" x14ac:dyDescent="0.25">
      <c r="B146" s="2"/>
      <c r="C146" s="2"/>
      <c r="D146" s="2"/>
      <c r="E146" s="2"/>
    </row>
    <row r="147" spans="2:5" x14ac:dyDescent="0.25">
      <c r="B147" s="2"/>
      <c r="C147" s="2"/>
      <c r="D147" s="2"/>
      <c r="E147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Inicio</vt:lpstr>
      <vt:lpstr>Ingresos</vt:lpstr>
      <vt:lpstr>Salidas</vt:lpstr>
      <vt:lpstr>Reportes</vt:lpstr>
      <vt:lpstr>BD General Ingresos</vt:lpstr>
      <vt:lpstr>BD Ingresos Juan pablo</vt:lpstr>
      <vt:lpstr>BD Ingresos simon</vt:lpstr>
      <vt:lpstr> Ingresos Felipe</vt:lpstr>
      <vt:lpstr> Ingresos alejandro</vt:lpstr>
      <vt:lpstr>BD Salidas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Usuario</cp:lastModifiedBy>
  <dcterms:created xsi:type="dcterms:W3CDTF">2021-02-19T13:06:49Z</dcterms:created>
  <dcterms:modified xsi:type="dcterms:W3CDTF">2021-02-22T13:45:17Z</dcterms:modified>
</cp:coreProperties>
</file>